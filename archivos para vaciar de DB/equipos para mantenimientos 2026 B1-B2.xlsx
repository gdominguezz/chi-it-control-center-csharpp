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ominguezg\Desktop\PROYECTO NUEVO (BASE DE DATOS)\archivos para vaciar de DB\"/>
    </mc:Choice>
  </mc:AlternateContent>
  <xr:revisionPtr revIDLastSave="0" documentId="8_{0779DB89-9B3D-434B-8EB6-AE8BC8978C9B}" xr6:coauthVersionLast="47" xr6:coauthVersionMax="47" xr10:uidLastSave="{00000000-0000-0000-0000-000000000000}"/>
  <bookViews>
    <workbookView xWindow="-108" yWindow="-108" windowWidth="23256" windowHeight="12456" xr2:uid="{22A6A8B6-25A2-4B1F-8C8A-69C9E8EE5481}"/>
  </bookViews>
  <sheets>
    <sheet name="Sheet1" sheetId="1" r:id="rId1"/>
    <sheet name="Hoja1" sheetId="4" r:id="rId2"/>
    <sheet name="Laptops" sheetId="5" r:id="rId3"/>
    <sheet name="Hoja2" sheetId="3" r:id="rId4"/>
    <sheet name="BAJAS" sheetId="2" r:id="rId5"/>
  </sheets>
  <externalReferences>
    <externalReference r:id="rId6"/>
  </externalReferences>
  <definedNames>
    <definedName name="_xlnm._FilterDatabase" localSheetId="0" hidden="1">Sheet1!$H$7:$K$14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5" i="1" l="1"/>
  <c r="D413" i="3"/>
  <c r="E372" i="1" s="1"/>
  <c r="D412" i="3"/>
  <c r="D411" i="3"/>
  <c r="D410" i="3"/>
  <c r="D409" i="3"/>
  <c r="E143" i="1" s="1"/>
  <c r="D408" i="3"/>
  <c r="D407" i="3"/>
  <c r="D406" i="3"/>
  <c r="D405" i="3"/>
  <c r="D404" i="3"/>
  <c r="D403" i="3"/>
  <c r="E293" i="1" s="1"/>
  <c r="D402" i="3"/>
  <c r="E215" i="1" s="1"/>
  <c r="D401" i="3"/>
  <c r="D400" i="3"/>
  <c r="E225" i="1" s="1"/>
  <c r="D399" i="3"/>
  <c r="D398" i="3"/>
  <c r="D397" i="3"/>
  <c r="E46" i="1" s="1"/>
  <c r="D396" i="3"/>
  <c r="D395" i="3"/>
  <c r="D394" i="3"/>
  <c r="D393" i="3"/>
  <c r="D392" i="3"/>
  <c r="E122" i="1" s="1"/>
  <c r="D391" i="3"/>
  <c r="E153" i="1" s="1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E125" i="1" s="1"/>
  <c r="D377" i="3"/>
  <c r="E383" i="1" s="1"/>
  <c r="D376" i="3"/>
  <c r="E197" i="1" s="1"/>
  <c r="D375" i="3"/>
  <c r="E424" i="1" s="1"/>
  <c r="D374" i="3"/>
  <c r="D373" i="3"/>
  <c r="E422" i="1" s="1"/>
  <c r="D372" i="3"/>
  <c r="E423" i="1" s="1"/>
  <c r="D371" i="3"/>
  <c r="E16" i="1" s="1"/>
  <c r="D370" i="3"/>
  <c r="E420" i="1" s="1"/>
  <c r="D369" i="3"/>
  <c r="E418" i="1" s="1"/>
  <c r="D368" i="3"/>
  <c r="E417" i="1" s="1"/>
  <c r="D367" i="3"/>
  <c r="E415" i="1" s="1"/>
  <c r="D366" i="3"/>
  <c r="E416" i="1" s="1"/>
  <c r="D365" i="3"/>
  <c r="D364" i="3"/>
  <c r="D363" i="3"/>
  <c r="D362" i="3"/>
  <c r="D361" i="3"/>
  <c r="E324" i="1" s="1"/>
  <c r="D360" i="3"/>
  <c r="E393" i="1" s="1"/>
  <c r="D359" i="3"/>
  <c r="E391" i="1" s="1"/>
  <c r="D358" i="3"/>
  <c r="E390" i="1" s="1"/>
  <c r="D357" i="3"/>
  <c r="E419" i="1" s="1"/>
  <c r="D356" i="3"/>
  <c r="E379" i="1" s="1"/>
  <c r="D355" i="3"/>
  <c r="E378" i="1" s="1"/>
  <c r="D354" i="3"/>
  <c r="E394" i="1" s="1"/>
  <c r="D353" i="3"/>
  <c r="E367" i="1" s="1"/>
  <c r="D352" i="3"/>
  <c r="E377" i="1" s="1"/>
  <c r="D351" i="3"/>
  <c r="E376" i="1" s="1"/>
  <c r="D350" i="3"/>
  <c r="D349" i="3"/>
  <c r="E369" i="1" s="1"/>
  <c r="D348" i="3"/>
  <c r="D347" i="3"/>
  <c r="E366" i="1" s="1"/>
  <c r="D346" i="3"/>
  <c r="D345" i="3"/>
  <c r="E364" i="1" s="1"/>
  <c r="D344" i="3"/>
  <c r="E365" i="1" s="1"/>
  <c r="D343" i="3"/>
  <c r="D342" i="3"/>
  <c r="D341" i="3"/>
  <c r="E408" i="1" s="1"/>
  <c r="D340" i="3"/>
  <c r="E242" i="1" s="1"/>
  <c r="D339" i="3"/>
  <c r="E335" i="1" s="1"/>
  <c r="D338" i="3"/>
  <c r="E358" i="1" s="1"/>
  <c r="D337" i="3"/>
  <c r="E336" i="1" s="1"/>
  <c r="D336" i="3"/>
  <c r="E401" i="1" s="1"/>
  <c r="D335" i="3"/>
  <c r="D334" i="3"/>
  <c r="E354" i="1" s="1"/>
  <c r="D333" i="3"/>
  <c r="E269" i="1" s="1"/>
  <c r="D332" i="3"/>
  <c r="E356" i="1" s="1"/>
  <c r="D331" i="3"/>
  <c r="D330" i="3"/>
  <c r="E353" i="1" s="1"/>
  <c r="D329" i="3"/>
  <c r="D328" i="3"/>
  <c r="E350" i="1" s="1"/>
  <c r="D327" i="3"/>
  <c r="E347" i="1" s="1"/>
  <c r="D326" i="3"/>
  <c r="E348" i="1" s="1"/>
  <c r="D325" i="3"/>
  <c r="E344" i="1" s="1"/>
  <c r="D324" i="3"/>
  <c r="E346" i="1" s="1"/>
  <c r="D323" i="3"/>
  <c r="E32" i="1" s="1"/>
  <c r="D322" i="3"/>
  <c r="D321" i="3"/>
  <c r="E339" i="1" s="1"/>
  <c r="D320" i="3"/>
  <c r="E340" i="1" s="1"/>
  <c r="D319" i="3"/>
  <c r="D318" i="3"/>
  <c r="E333" i="1" s="1"/>
  <c r="D317" i="3"/>
  <c r="E332" i="1" s="1"/>
  <c r="D316" i="3"/>
  <c r="E331" i="1" s="1"/>
  <c r="D315" i="3"/>
  <c r="E334" i="1" s="1"/>
  <c r="D314" i="3"/>
  <c r="E330" i="1" s="1"/>
  <c r="D313" i="3"/>
  <c r="E329" i="1" s="1"/>
  <c r="D312" i="3"/>
  <c r="D311" i="3"/>
  <c r="E88" i="1" s="1"/>
  <c r="D310" i="3"/>
  <c r="E326" i="1" s="1"/>
  <c r="D309" i="3"/>
  <c r="E327" i="1" s="1"/>
  <c r="D308" i="3"/>
  <c r="D307" i="3"/>
  <c r="E323" i="1" s="1"/>
  <c r="D306" i="3"/>
  <c r="E322" i="1" s="1"/>
  <c r="D305" i="3"/>
  <c r="E319" i="1" s="1"/>
  <c r="D304" i="3"/>
  <c r="E321" i="1" s="1"/>
  <c r="D303" i="3"/>
  <c r="E320" i="1" s="1"/>
  <c r="D302" i="3"/>
  <c r="E318" i="1" s="1"/>
  <c r="D301" i="3"/>
  <c r="E317" i="1" s="1"/>
  <c r="D300" i="3"/>
  <c r="E316" i="1" s="1"/>
  <c r="D299" i="3"/>
  <c r="E315" i="1" s="1"/>
  <c r="D298" i="3"/>
  <c r="E314" i="1" s="1"/>
  <c r="D297" i="3"/>
  <c r="E313" i="1" s="1"/>
  <c r="D296" i="3"/>
  <c r="E311" i="1" s="1"/>
  <c r="D295" i="3"/>
  <c r="E312" i="1" s="1"/>
  <c r="D294" i="3"/>
  <c r="E309" i="1" s="1"/>
  <c r="D293" i="3"/>
  <c r="E310" i="1" s="1"/>
  <c r="D292" i="3"/>
  <c r="E308" i="1" s="1"/>
  <c r="D291" i="3"/>
  <c r="E307" i="1" s="1"/>
  <c r="D290" i="3"/>
  <c r="D289" i="3"/>
  <c r="E243" i="1" s="1"/>
  <c r="D288" i="3"/>
  <c r="E228" i="1" s="1"/>
  <c r="D287" i="3"/>
  <c r="E301" i="1" s="1"/>
  <c r="D286" i="3"/>
  <c r="E303" i="1" s="1"/>
  <c r="D285" i="3"/>
  <c r="E302" i="1" s="1"/>
  <c r="D284" i="3"/>
  <c r="E300" i="1" s="1"/>
  <c r="D283" i="3"/>
  <c r="D282" i="3"/>
  <c r="E299" i="1" s="1"/>
  <c r="D281" i="3"/>
  <c r="E297" i="1" s="1"/>
  <c r="D280" i="3"/>
  <c r="E294" i="1" s="1"/>
  <c r="D279" i="3"/>
  <c r="E295" i="1" s="1"/>
  <c r="D278" i="3"/>
  <c r="E296" i="1" s="1"/>
  <c r="D277" i="3"/>
  <c r="D276" i="3"/>
  <c r="E292" i="1" s="1"/>
  <c r="D275" i="3"/>
  <c r="E291" i="1" s="1"/>
  <c r="D274" i="3"/>
  <c r="E289" i="1" s="1"/>
  <c r="D273" i="3"/>
  <c r="E288" i="1" s="1"/>
  <c r="D272" i="3"/>
  <c r="E285" i="1" s="1"/>
  <c r="D271" i="3"/>
  <c r="E287" i="1" s="1"/>
  <c r="D270" i="3"/>
  <c r="E286" i="1" s="1"/>
  <c r="D269" i="3"/>
  <c r="E283" i="1" s="1"/>
  <c r="D268" i="3"/>
  <c r="E281" i="1" s="1"/>
  <c r="D267" i="3"/>
  <c r="E280" i="1" s="1"/>
  <c r="D266" i="3"/>
  <c r="E282" i="1" s="1"/>
  <c r="D265" i="3"/>
  <c r="E278" i="1" s="1"/>
  <c r="D264" i="3"/>
  <c r="E277" i="1" s="1"/>
  <c r="D263" i="3"/>
  <c r="E279" i="1" s="1"/>
  <c r="D262" i="3"/>
  <c r="E275" i="1" s="1"/>
  <c r="D261" i="3"/>
  <c r="E274" i="1" s="1"/>
  <c r="D260" i="3"/>
  <c r="E276" i="1" s="1"/>
  <c r="D259" i="3"/>
  <c r="E271" i="1" s="1"/>
  <c r="D258" i="3"/>
  <c r="E272" i="1" s="1"/>
  <c r="D257" i="3"/>
  <c r="E273" i="1" s="1"/>
  <c r="D256" i="3"/>
  <c r="E268" i="1" s="1"/>
  <c r="D255" i="3"/>
  <c r="E355" i="1" s="1"/>
  <c r="D254" i="3"/>
  <c r="E270" i="1" s="1"/>
  <c r="D253" i="3"/>
  <c r="D252" i="3"/>
  <c r="E267" i="1" s="1"/>
  <c r="D251" i="3"/>
  <c r="E266" i="1" s="1"/>
  <c r="D250" i="3"/>
  <c r="E219" i="1" s="1"/>
  <c r="D249" i="3"/>
  <c r="E264" i="1" s="1"/>
  <c r="D248" i="3"/>
  <c r="E263" i="1" s="1"/>
  <c r="D247" i="3"/>
  <c r="E259" i="1" s="1"/>
  <c r="D246" i="3"/>
  <c r="E261" i="1" s="1"/>
  <c r="D245" i="3"/>
  <c r="E260" i="1" s="1"/>
  <c r="D244" i="3"/>
  <c r="E256" i="1" s="1"/>
  <c r="D243" i="3"/>
  <c r="E257" i="1" s="1"/>
  <c r="D242" i="3"/>
  <c r="E258" i="1" s="1"/>
  <c r="D241" i="3"/>
  <c r="E255" i="1" s="1"/>
  <c r="D240" i="3"/>
  <c r="E253" i="1" s="1"/>
  <c r="D239" i="3"/>
  <c r="E254" i="1" s="1"/>
  <c r="D238" i="3"/>
  <c r="E250" i="1" s="1"/>
  <c r="D237" i="3"/>
  <c r="E252" i="1" s="1"/>
  <c r="D236" i="3"/>
  <c r="E251" i="1" s="1"/>
  <c r="D235" i="3"/>
  <c r="E247" i="1" s="1"/>
  <c r="D234" i="3"/>
  <c r="E249" i="1" s="1"/>
  <c r="D233" i="3"/>
  <c r="E142" i="1" s="1"/>
  <c r="D232" i="3"/>
  <c r="D231" i="3"/>
  <c r="E246" i="1" s="1"/>
  <c r="D230" i="3"/>
  <c r="E245" i="1" s="1"/>
  <c r="D229" i="3"/>
  <c r="E239" i="1" s="1"/>
  <c r="D228" i="3"/>
  <c r="E241" i="1" s="1"/>
  <c r="D227" i="3"/>
  <c r="E240" i="1" s="1"/>
  <c r="D226" i="3"/>
  <c r="E236" i="1" s="1"/>
  <c r="D225" i="3"/>
  <c r="E237" i="1" s="1"/>
  <c r="D224" i="3"/>
  <c r="E238" i="1" s="1"/>
  <c r="D223" i="3"/>
  <c r="D222" i="3"/>
  <c r="E147" i="1" s="1"/>
  <c r="D221" i="3"/>
  <c r="E409" i="1" s="1"/>
  <c r="D220" i="3"/>
  <c r="D219" i="3"/>
  <c r="E232" i="1" s="1"/>
  <c r="D218" i="3"/>
  <c r="E233" i="1" s="1"/>
  <c r="D217" i="3"/>
  <c r="E235" i="1" s="1"/>
  <c r="D216" i="3"/>
  <c r="E234" i="1" s="1"/>
  <c r="D215" i="3"/>
  <c r="D214" i="3"/>
  <c r="D213" i="3"/>
  <c r="E230" i="1" s="1"/>
  <c r="D212" i="3"/>
  <c r="E306" i="1" s="1"/>
  <c r="D211" i="3"/>
  <c r="E304" i="1" s="1"/>
  <c r="D210" i="3"/>
  <c r="E305" i="1" s="1"/>
  <c r="D209" i="3"/>
  <c r="D208" i="3"/>
  <c r="E227" i="1" s="1"/>
  <c r="D207" i="3"/>
  <c r="E224" i="1" s="1"/>
  <c r="D206" i="3"/>
  <c r="D205" i="3"/>
  <c r="E223" i="1" s="1"/>
  <c r="D204" i="3"/>
  <c r="E221" i="1" s="1"/>
  <c r="D203" i="3"/>
  <c r="D202" i="3"/>
  <c r="D201" i="3"/>
  <c r="E218" i="1" s="1"/>
  <c r="D200" i="3"/>
  <c r="D199" i="3"/>
  <c r="E217" i="1" s="1"/>
  <c r="D198" i="3"/>
  <c r="E212" i="1" s="1"/>
  <c r="D197" i="3"/>
  <c r="E214" i="1" s="1"/>
  <c r="D196" i="3"/>
  <c r="E213" i="1" s="1"/>
  <c r="D195" i="3"/>
  <c r="D194" i="3"/>
  <c r="E210" i="1" s="1"/>
  <c r="D193" i="3"/>
  <c r="D192" i="3"/>
  <c r="D191" i="3"/>
  <c r="E134" i="1" s="1"/>
  <c r="D190" i="3"/>
  <c r="E200" i="1" s="1"/>
  <c r="D189" i="3"/>
  <c r="E207" i="1" s="1"/>
  <c r="D188" i="3"/>
  <c r="E206" i="1" s="1"/>
  <c r="D187" i="3"/>
  <c r="E412" i="1" s="1"/>
  <c r="D186" i="3"/>
  <c r="E205" i="1" s="1"/>
  <c r="D185" i="3"/>
  <c r="E204" i="1" s="1"/>
  <c r="D184" i="3"/>
  <c r="E413" i="1" s="1"/>
  <c r="D183" i="3"/>
  <c r="D182" i="3"/>
  <c r="E195" i="1" s="1"/>
  <c r="D181" i="3"/>
  <c r="D180" i="3"/>
  <c r="E194" i="1" s="1"/>
  <c r="D179" i="3"/>
  <c r="E192" i="1" s="1"/>
  <c r="D178" i="3"/>
  <c r="E190" i="1" s="1"/>
  <c r="D177" i="3"/>
  <c r="E189" i="1" s="1"/>
  <c r="D176" i="3"/>
  <c r="E188" i="1" s="1"/>
  <c r="D175" i="3"/>
  <c r="E187" i="1" s="1"/>
  <c r="D174" i="3"/>
  <c r="E186" i="1" s="1"/>
  <c r="D173" i="3"/>
  <c r="E175" i="1" s="1"/>
  <c r="D172" i="3"/>
  <c r="E184" i="1" s="1"/>
  <c r="D171" i="3"/>
  <c r="E185" i="1" s="1"/>
  <c r="D170" i="3"/>
  <c r="E183" i="1" s="1"/>
  <c r="D169" i="3"/>
  <c r="E180" i="1" s="1"/>
  <c r="D168" i="3"/>
  <c r="E191" i="1" s="1"/>
  <c r="D167" i="3"/>
  <c r="E179" i="1" s="1"/>
  <c r="D166" i="3"/>
  <c r="E178" i="1" s="1"/>
  <c r="D165" i="3"/>
  <c r="E177" i="1" s="1"/>
  <c r="D164" i="3"/>
  <c r="E174" i="1" s="1"/>
  <c r="D163" i="3"/>
  <c r="E171" i="1" s="1"/>
  <c r="D162" i="3"/>
  <c r="E172" i="1" s="1"/>
  <c r="D161" i="3"/>
  <c r="E169" i="1" s="1"/>
  <c r="D160" i="3"/>
  <c r="D159" i="3"/>
  <c r="E166" i="1" s="1"/>
  <c r="D158" i="3"/>
  <c r="E176" i="1" s="1"/>
  <c r="D157" i="3"/>
  <c r="E165" i="1" s="1"/>
  <c r="D156" i="3"/>
  <c r="E392" i="1" s="1"/>
  <c r="D155" i="3"/>
  <c r="E342" i="1" s="1"/>
  <c r="D154" i="3"/>
  <c r="E198" i="1" s="1"/>
  <c r="D153" i="3"/>
  <c r="E343" i="1" s="1"/>
  <c r="D152" i="3"/>
  <c r="E373" i="1" s="1"/>
  <c r="D151" i="3"/>
  <c r="E89" i="1" s="1"/>
  <c r="D150" i="3"/>
  <c r="E163" i="1" s="1"/>
  <c r="D149" i="3"/>
  <c r="D148" i="3"/>
  <c r="E262" i="1" s="1"/>
  <c r="D147" i="3"/>
  <c r="E341" i="1" s="1"/>
  <c r="D146" i="3"/>
  <c r="D145" i="3"/>
  <c r="D144" i="3"/>
  <c r="E196" i="1" s="1"/>
  <c r="D143" i="3"/>
  <c r="E410" i="1" s="1"/>
  <c r="D142" i="3"/>
  <c r="D141" i="3"/>
  <c r="D140" i="3"/>
  <c r="D139" i="3"/>
  <c r="E161" i="1" s="1"/>
  <c r="D138" i="3"/>
  <c r="D137" i="3"/>
  <c r="D136" i="3"/>
  <c r="D135" i="3"/>
  <c r="E248" i="1" s="1"/>
  <c r="D134" i="3"/>
  <c r="E158" i="1" s="1"/>
  <c r="D133" i="3"/>
  <c r="E157" i="1" s="1"/>
  <c r="D132" i="3"/>
  <c r="E154" i="1" s="1"/>
  <c r="D131" i="3"/>
  <c r="E345" i="1" s="1"/>
  <c r="D130" i="3"/>
  <c r="E156" i="1" s="1"/>
  <c r="D129" i="3"/>
  <c r="E150" i="1" s="1"/>
  <c r="D128" i="3"/>
  <c r="E152" i="1" s="1"/>
  <c r="D127" i="3"/>
  <c r="E139" i="1" s="1"/>
  <c r="D126" i="3"/>
  <c r="E395" i="1" s="1"/>
  <c r="D125" i="3"/>
  <c r="E149" i="1" s="1"/>
  <c r="D124" i="3"/>
  <c r="E148" i="1" s="1"/>
  <c r="D123" i="3"/>
  <c r="E146" i="1" s="1"/>
  <c r="D122" i="3"/>
  <c r="D121" i="3"/>
  <c r="E145" i="1" s="1"/>
  <c r="D120" i="3"/>
  <c r="E141" i="1" s="1"/>
  <c r="D119" i="3"/>
  <c r="E411" i="1" s="1"/>
  <c r="D118" i="3"/>
  <c r="E140" i="1" s="1"/>
  <c r="D117" i="3"/>
  <c r="D116" i="3"/>
  <c r="E151" i="1" s="1"/>
  <c r="D115" i="3"/>
  <c r="E135" i="1" s="1"/>
  <c r="D114" i="3"/>
  <c r="E136" i="1" s="1"/>
  <c r="D113" i="3"/>
  <c r="E137" i="1" s="1"/>
  <c r="D112" i="3"/>
  <c r="E132" i="1" s="1"/>
  <c r="D111" i="3"/>
  <c r="E164" i="1" s="1"/>
  <c r="D110" i="3"/>
  <c r="E133" i="1" s="1"/>
  <c r="D109" i="3"/>
  <c r="E128" i="1" s="1"/>
  <c r="D108" i="3"/>
  <c r="D107" i="3"/>
  <c r="E127" i="1" s="1"/>
  <c r="D106" i="3"/>
  <c r="E357" i="1" s="1"/>
  <c r="D105" i="3"/>
  <c r="E123" i="1" s="1"/>
  <c r="D104" i="3"/>
  <c r="E124" i="1" s="1"/>
  <c r="D103" i="3"/>
  <c r="E119" i="1" s="1"/>
  <c r="D102" i="3"/>
  <c r="E120" i="1" s="1"/>
  <c r="D101" i="3"/>
  <c r="E121" i="1" s="1"/>
  <c r="D100" i="3"/>
  <c r="E117" i="1" s="1"/>
  <c r="D99" i="3"/>
  <c r="E118" i="1" s="1"/>
  <c r="D98" i="3"/>
  <c r="E115" i="1" s="1"/>
  <c r="D97" i="3"/>
  <c r="E116" i="1" s="1"/>
  <c r="D96" i="3"/>
  <c r="E114" i="1" s="1"/>
  <c r="D95" i="3"/>
  <c r="E112" i="1" s="1"/>
  <c r="D94" i="3"/>
  <c r="E113" i="1" s="1"/>
  <c r="D93" i="3"/>
  <c r="E111" i="1" s="1"/>
  <c r="D92" i="3"/>
  <c r="E110" i="1" s="1"/>
  <c r="D91" i="3"/>
  <c r="D90" i="3"/>
  <c r="E109" i="1" s="1"/>
  <c r="D89" i="3"/>
  <c r="D88" i="3"/>
  <c r="E107" i="1" s="1"/>
  <c r="D87" i="3"/>
  <c r="E108" i="1" s="1"/>
  <c r="D86" i="3"/>
  <c r="E104" i="1" s="1"/>
  <c r="D85" i="3"/>
  <c r="E105" i="1" s="1"/>
  <c r="D84" i="3"/>
  <c r="E103" i="1" s="1"/>
  <c r="D83" i="3"/>
  <c r="E92" i="1" s="1"/>
  <c r="D82" i="3"/>
  <c r="E91" i="1" s="1"/>
  <c r="D81" i="3"/>
  <c r="E90" i="1" s="1"/>
  <c r="D80" i="3"/>
  <c r="E42" i="1" s="1"/>
  <c r="D79" i="3"/>
  <c r="E87" i="1" s="1"/>
  <c r="D78" i="3"/>
  <c r="E406" i="1" s="1"/>
  <c r="D77" i="3"/>
  <c r="E85" i="1" s="1"/>
  <c r="D76" i="3"/>
  <c r="D75" i="3"/>
  <c r="E80" i="1" s="1"/>
  <c r="D74" i="3"/>
  <c r="E81" i="1" s="1"/>
  <c r="D73" i="3"/>
  <c r="E79" i="1" s="1"/>
  <c r="D72" i="3"/>
  <c r="E77" i="1" s="1"/>
  <c r="D71" i="3"/>
  <c r="E78" i="1" s="1"/>
  <c r="D70" i="3"/>
  <c r="E75" i="1" s="1"/>
  <c r="D69" i="3"/>
  <c r="E76" i="1" s="1"/>
  <c r="D68" i="3"/>
  <c r="E74" i="1" s="1"/>
  <c r="D67" i="3"/>
  <c r="E73" i="1" s="1"/>
  <c r="D66" i="3"/>
  <c r="E70" i="1" s="1"/>
  <c r="D65" i="3"/>
  <c r="E72" i="1" s="1"/>
  <c r="D64" i="3"/>
  <c r="E71" i="1" s="1"/>
  <c r="D63" i="3"/>
  <c r="E69" i="1" s="1"/>
  <c r="D62" i="3"/>
  <c r="D61" i="3"/>
  <c r="E68" i="1" s="1"/>
  <c r="D60" i="3"/>
  <c r="E66" i="1" s="1"/>
  <c r="D59" i="3"/>
  <c r="E64" i="1" s="1"/>
  <c r="D58" i="3"/>
  <c r="E65" i="1" s="1"/>
  <c r="D57" i="3"/>
  <c r="E62" i="1" s="1"/>
  <c r="D56" i="3"/>
  <c r="D55" i="3"/>
  <c r="E61" i="1" s="1"/>
  <c r="D54" i="3"/>
  <c r="E396" i="1" s="1"/>
  <c r="D53" i="3"/>
  <c r="D52" i="3"/>
  <c r="E59" i="1" s="1"/>
  <c r="D51" i="3"/>
  <c r="E58" i="1" s="1"/>
  <c r="D50" i="3"/>
  <c r="E402" i="1" s="1"/>
  <c r="D49" i="3"/>
  <c r="E56" i="1" s="1"/>
  <c r="D48" i="3"/>
  <c r="E55" i="1" s="1"/>
  <c r="D47" i="3"/>
  <c r="E51" i="1" s="1"/>
  <c r="D46" i="3"/>
  <c r="E53" i="1" s="1"/>
  <c r="D45" i="3"/>
  <c r="E52" i="1" s="1"/>
  <c r="D44" i="3"/>
  <c r="E50" i="1" s="1"/>
  <c r="D43" i="3"/>
  <c r="D42" i="3"/>
  <c r="E47" i="1" s="1"/>
  <c r="D41" i="3"/>
  <c r="E48" i="1" s="1"/>
  <c r="D40" i="3"/>
  <c r="E170" i="1" s="1"/>
  <c r="D39" i="3"/>
  <c r="E41" i="1" s="1"/>
  <c r="D38" i="3"/>
  <c r="E43" i="1" s="1"/>
  <c r="D37" i="3"/>
  <c r="D36" i="3"/>
  <c r="E40" i="1" s="1"/>
  <c r="D35" i="3"/>
  <c r="E38" i="1" s="1"/>
  <c r="D34" i="3"/>
  <c r="E39" i="1" s="1"/>
  <c r="D33" i="3"/>
  <c r="E37" i="1" s="1"/>
  <c r="D32" i="3"/>
  <c r="E35" i="1" s="1"/>
  <c r="D31" i="3"/>
  <c r="E34" i="1" s="1"/>
  <c r="D30" i="3"/>
  <c r="E36" i="1" s="1"/>
  <c r="D29" i="3"/>
  <c r="E30" i="1" s="1"/>
  <c r="D28" i="3"/>
  <c r="E28" i="1" s="1"/>
  <c r="D27" i="3"/>
  <c r="E29" i="1" s="1"/>
  <c r="D26" i="3"/>
  <c r="E26" i="1" s="1"/>
  <c r="D25" i="3"/>
  <c r="E25" i="1" s="1"/>
  <c r="D24" i="3"/>
  <c r="E27" i="1" s="1"/>
  <c r="D23" i="3"/>
  <c r="E24" i="1" s="1"/>
  <c r="D22" i="3"/>
  <c r="E22" i="1" s="1"/>
  <c r="D21" i="3"/>
  <c r="E23" i="1" s="1"/>
  <c r="D20" i="3"/>
  <c r="E20" i="1" s="1"/>
  <c r="D19" i="3"/>
  <c r="E19" i="1" s="1"/>
  <c r="D18" i="3"/>
  <c r="E21" i="1" s="1"/>
  <c r="D17" i="3"/>
  <c r="E18" i="1" s="1"/>
  <c r="D16" i="3"/>
  <c r="E6" i="1" s="1"/>
  <c r="D15" i="3"/>
  <c r="E17" i="1" s="1"/>
  <c r="D14" i="3"/>
  <c r="E14" i="1" s="1"/>
  <c r="D13" i="3"/>
  <c r="E15" i="1" s="1"/>
  <c r="D12" i="3"/>
  <c r="D11" i="3"/>
  <c r="E13" i="1" s="1"/>
  <c r="D10" i="3"/>
  <c r="E11" i="1" s="1"/>
  <c r="D9" i="3"/>
  <c r="D8" i="3"/>
  <c r="E8" i="1" s="1"/>
  <c r="D7" i="3"/>
  <c r="E9" i="1" s="1"/>
  <c r="D6" i="3"/>
  <c r="E95" i="1" s="1"/>
  <c r="D5" i="3"/>
  <c r="E7" i="1" s="1"/>
  <c r="D4" i="3"/>
  <c r="E5" i="1" s="1"/>
  <c r="D3" i="3"/>
  <c r="E4" i="1" s="1"/>
  <c r="D2" i="3"/>
  <c r="E10" i="1" s="1"/>
  <c r="D1" i="3"/>
  <c r="E3" i="1" s="1"/>
</calcChain>
</file>

<file path=xl/sharedStrings.xml><?xml version="1.0" encoding="utf-8"?>
<sst xmlns="http://schemas.openxmlformats.org/spreadsheetml/2006/main" count="5455" uniqueCount="1295">
  <si>
    <t>No.</t>
  </si>
  <si>
    <t>ID Equipo</t>
  </si>
  <si>
    <t>Ubicación</t>
  </si>
  <si>
    <t>AREA AUTOCLAVE (S/V AUTOCLAVE)</t>
  </si>
  <si>
    <t>6C8CWX3</t>
  </si>
  <si>
    <t>5B2405T42731</t>
  </si>
  <si>
    <t>6ZJXDF3</t>
  </si>
  <si>
    <t>AREA CORTE 1 (S/V EXT.S)</t>
  </si>
  <si>
    <t>4B1131P19277</t>
  </si>
  <si>
    <t>6FCCWX3</t>
  </si>
  <si>
    <t>AREA DE ACCORD (S/V LINEAS)</t>
  </si>
  <si>
    <t>4B1128P48603</t>
  </si>
  <si>
    <t>6DJQ482</t>
  </si>
  <si>
    <t>AREA DE LOCKERS (ASISTENTE DE MA)</t>
  </si>
  <si>
    <t>4B1519P47249</t>
  </si>
  <si>
    <t>CFCCWX3</t>
  </si>
  <si>
    <t>4B1015P28602</t>
  </si>
  <si>
    <t>AREA DE LOCKERS (S/V HORNOS IZQ)</t>
  </si>
  <si>
    <t>CC8CWX3</t>
  </si>
  <si>
    <t>3B1044X10037</t>
  </si>
  <si>
    <t>AREA DE LOCKERS (S/V LINEAS)</t>
  </si>
  <si>
    <t>8QHW0Q2</t>
  </si>
  <si>
    <t>4B1226P31318</t>
  </si>
  <si>
    <t>8LF2FF3</t>
  </si>
  <si>
    <t>0B2317N03326</t>
  </si>
  <si>
    <t>0B2319N02794</t>
  </si>
  <si>
    <t>FRP3RP2</t>
  </si>
  <si>
    <t>29J120702698</t>
  </si>
  <si>
    <t>0B2425L07173</t>
  </si>
  <si>
    <t>J7T8922</t>
  </si>
  <si>
    <t>29J161900202</t>
  </si>
  <si>
    <t>4B1508P03448</t>
  </si>
  <si>
    <t>8W3JRP2</t>
  </si>
  <si>
    <t>AREA INSPECCION DE INCOMING (LIDER)</t>
  </si>
  <si>
    <t>AUDITORIA DE PROCESOS</t>
  </si>
  <si>
    <t>AUTOCLAVE (PANEL DE CONTROL AUT.2)</t>
  </si>
  <si>
    <t>AUTOCLAVE 1 (SISTEMA SRK)</t>
  </si>
  <si>
    <t>AUTOCLAVE 3 (SISTEMA SRK)</t>
  </si>
  <si>
    <t>AUTOCLAVE 4 (SISTEMA SRK)</t>
  </si>
  <si>
    <t>29J151802137</t>
  </si>
  <si>
    <t>0B2425L03519</t>
  </si>
  <si>
    <t>JFZWHS1</t>
  </si>
  <si>
    <t>29J161101842</t>
  </si>
  <si>
    <t>4B1124P31676</t>
  </si>
  <si>
    <t>8JDFTW1</t>
  </si>
  <si>
    <t>D6N233550270</t>
  </si>
  <si>
    <t>4B1146P49243</t>
  </si>
  <si>
    <t>4B1442P17866</t>
  </si>
  <si>
    <t>4B1613P63260</t>
  </si>
  <si>
    <t>HFXR5V1</t>
  </si>
  <si>
    <t>29J152401805</t>
  </si>
  <si>
    <t>4B1146P47173</t>
  </si>
  <si>
    <t>D6N224051186</t>
  </si>
  <si>
    <t>4B1508P05815</t>
  </si>
  <si>
    <t>0B2449L30129</t>
  </si>
  <si>
    <t>FLF7BZ2</t>
  </si>
  <si>
    <t>4B2216P28209</t>
  </si>
  <si>
    <t>HFZT5V1</t>
  </si>
  <si>
    <t>4B1146P49234</t>
  </si>
  <si>
    <t>1KFF8C2</t>
  </si>
  <si>
    <t>4B1146P49222</t>
  </si>
  <si>
    <t>HFTZ5V1</t>
  </si>
  <si>
    <t>AUTOCLAVE 5 (SISTEMA SRK)</t>
  </si>
  <si>
    <t>BORDES (SISTEMA SRK)</t>
  </si>
  <si>
    <t>CAMARA DE VIGILANCIA MEZZANINE APQP</t>
  </si>
  <si>
    <t>CAMARAS 1 (SISTEMA SRK)</t>
  </si>
  <si>
    <t>HFNW5V1</t>
  </si>
  <si>
    <t>CAMPANA Y PLASMA (SISTEMA SRK)</t>
  </si>
  <si>
    <t>CCTV PARED ARRIBA FRENTE A LAS 300'S</t>
  </si>
  <si>
    <t>COMUNICACION (JENIFFER CHAVEZ)</t>
  </si>
  <si>
    <t>CONECTORES 101 (SISTEMA SRK)</t>
  </si>
  <si>
    <t>CONECTORES 102 (SISTEMA SRK)</t>
  </si>
  <si>
    <t>CONECTORES 103 (SISTEMA SRK)</t>
  </si>
  <si>
    <t>29J120702684</t>
  </si>
  <si>
    <t>4B1205P42852</t>
  </si>
  <si>
    <t>605XMN2</t>
  </si>
  <si>
    <t>29J153101352</t>
  </si>
  <si>
    <t>4B1146P47193</t>
  </si>
  <si>
    <t>DHVGMF2</t>
  </si>
  <si>
    <t>29J181600780</t>
  </si>
  <si>
    <t>4B1821P03676</t>
  </si>
  <si>
    <t>5J19JG2</t>
  </si>
  <si>
    <t>4B1128P48527</t>
  </si>
  <si>
    <t>HB8CWX3</t>
  </si>
  <si>
    <t>4B1015P22346</t>
  </si>
  <si>
    <t>4J44D82</t>
  </si>
  <si>
    <t>29J182901172</t>
  </si>
  <si>
    <t>4B1128P49747</t>
  </si>
  <si>
    <t>78XXJB2</t>
  </si>
  <si>
    <t>29J120702693</t>
  </si>
  <si>
    <t>4B1128P48536</t>
  </si>
  <si>
    <t>CCZCD92</t>
  </si>
  <si>
    <t>29J120702706</t>
  </si>
  <si>
    <t>4B2220P24362</t>
  </si>
  <si>
    <t>49CSM83</t>
  </si>
  <si>
    <t>4B1642P30242</t>
  </si>
  <si>
    <t>481TM83</t>
  </si>
  <si>
    <t>CONECTORES 104 (SISTEMA SRK)</t>
  </si>
  <si>
    <t>CONECTORES 105 (SISTEMA SRK)</t>
  </si>
  <si>
    <t>CONECTORES CHECKER (SISTEMA SRK)</t>
  </si>
  <si>
    <t>CORTE 1 (SISTEMA SRK)</t>
  </si>
  <si>
    <t>CORTE 2 (SISTEMA SRK)</t>
  </si>
  <si>
    <t>CORTE DE FORRO (SISTEMA SRK)</t>
  </si>
  <si>
    <t>CTRL DOCUMENTOS (CTRK DOCS #2)</t>
  </si>
  <si>
    <t>CTRL DOCUMENTOS (SANDRA VAZQUEZ)</t>
  </si>
  <si>
    <t>4B1146P47191</t>
  </si>
  <si>
    <t>HFQT5V1</t>
  </si>
  <si>
    <t>29J153302418</t>
  </si>
  <si>
    <t>4B1146P49270</t>
  </si>
  <si>
    <t>8QJW0Q2</t>
  </si>
  <si>
    <t>0B2425L10641</t>
  </si>
  <si>
    <t>6H37DS2</t>
  </si>
  <si>
    <t>4B1519P47323</t>
  </si>
  <si>
    <t>256KJB2</t>
  </si>
  <si>
    <t>4B1836P13693</t>
  </si>
  <si>
    <t>D6J243311853</t>
  </si>
  <si>
    <t>3B1044X10040</t>
  </si>
  <si>
    <t>2SCMK02</t>
  </si>
  <si>
    <t>4B1508P03441</t>
  </si>
  <si>
    <t>7C8CWX3</t>
  </si>
  <si>
    <t>4B1711P12990</t>
  </si>
  <si>
    <t>8FCCWX3</t>
  </si>
  <si>
    <t>4B1146P49221</t>
  </si>
  <si>
    <t>CD75QD2</t>
  </si>
  <si>
    <t>4B1543P33132</t>
  </si>
  <si>
    <t>FLF6BZ2</t>
  </si>
  <si>
    <t>8LFVDF3</t>
  </si>
  <si>
    <t>0B2429L32728</t>
  </si>
  <si>
    <t>4B2124P06417</t>
  </si>
  <si>
    <t>DIPPING CAMPANA Y PLASMA (SISTEMA SRK)</t>
  </si>
  <si>
    <t>DOCUMENTACION PE (CLAUDIA PEREZ CASTILLO)</t>
  </si>
  <si>
    <t>EMBARQUES MAZDA (SISTEMA SRK)</t>
  </si>
  <si>
    <t>EMBARQUES PASILLO ENFRENTE 200% (SISTEMA SRK)</t>
  </si>
  <si>
    <t>EMBARQUES SUPERVISOR</t>
  </si>
  <si>
    <t>ENFERMERIA (ENFERMERAS)</t>
  </si>
  <si>
    <t>ENTRENAMIENTO (EQUIPO 2)</t>
  </si>
  <si>
    <t>ENTRENAMIENTO (EQUIPO 3)</t>
  </si>
  <si>
    <t>ENTRENAMIENTO (EQUIPO 1)</t>
  </si>
  <si>
    <t>EXT 1 (MAQ H327)</t>
  </si>
  <si>
    <t>EXT 5 CAPAS (IMPRESORA HITACHI)</t>
  </si>
  <si>
    <t>29J120702690</t>
  </si>
  <si>
    <t>4B2125P07235</t>
  </si>
  <si>
    <t>4B2051P15218</t>
  </si>
  <si>
    <t>FMSV052</t>
  </si>
  <si>
    <t>29J162900967</t>
  </si>
  <si>
    <t>4B1131P19308</t>
  </si>
  <si>
    <t>4B2125P07230</t>
  </si>
  <si>
    <t>3B1128X24261</t>
  </si>
  <si>
    <t>HFQY5V1</t>
  </si>
  <si>
    <t>29J120702700</t>
  </si>
  <si>
    <t>4B1146P49279</t>
  </si>
  <si>
    <t>3VX8D92</t>
  </si>
  <si>
    <t>4B1128P48563</t>
  </si>
  <si>
    <t>CH899M2</t>
  </si>
  <si>
    <t>4B1146P47192</t>
  </si>
  <si>
    <t>4VB67V1</t>
  </si>
  <si>
    <t>29J163002047</t>
  </si>
  <si>
    <t>4B1128P49742</t>
  </si>
  <si>
    <t>HFXX5V1</t>
  </si>
  <si>
    <t>4B1324P41148</t>
  </si>
  <si>
    <t>98ND8C2</t>
  </si>
  <si>
    <t>29J161101860</t>
  </si>
  <si>
    <t>4B1816P41722</t>
  </si>
  <si>
    <t>EXT. 1 (IMPRESORA HITACHI)</t>
  </si>
  <si>
    <t>EXT. 1 (LASER)</t>
  </si>
  <si>
    <t>EXT. 10 (SISTEMA SRK)</t>
  </si>
  <si>
    <t>EXT. 5 CAPAS MONITOREO</t>
  </si>
  <si>
    <t>4B2125P12389</t>
  </si>
  <si>
    <t>EXT. 4 (IMPRESORA HITACHI)</t>
  </si>
  <si>
    <t>EXT. 8 (DE HULE) (SISTEMA SRK)</t>
  </si>
  <si>
    <t>EXT. FILLER NECK (MONITOREO)</t>
  </si>
  <si>
    <t>EXT. FILLER NECK (SISTEMA SRK)</t>
  </si>
  <si>
    <t>EXT. LINEA 3,4 Y 5 (SISTEMA SRK)</t>
  </si>
  <si>
    <t>EXT. LINEA 9 (DE EVAPO) (SISTEMA SRK)</t>
  </si>
  <si>
    <t>EXT. MDX (SISTEMA SRK)</t>
  </si>
  <si>
    <t>4B2125P12327</t>
  </si>
  <si>
    <t>EXT. LINEA 7 (IMPRESORA HITACHI)</t>
  </si>
  <si>
    <t>4B1836P13698</t>
  </si>
  <si>
    <t>EXT. LINEA 9 (IMPRESORA HITACHI)</t>
  </si>
  <si>
    <t>HFNV5V1</t>
  </si>
  <si>
    <t>EXTRUSORA 1 Y 2 (SISTEMA SRK)</t>
  </si>
  <si>
    <t>4B1205P35396</t>
  </si>
  <si>
    <t>7R87D92</t>
  </si>
  <si>
    <t>HORNO 02 (SISTEMA SRK)</t>
  </si>
  <si>
    <t>29J144101459</t>
  </si>
  <si>
    <t>4B1438P00923</t>
  </si>
  <si>
    <t>HFYT5V1</t>
  </si>
  <si>
    <t>HORNO 05 (SISTEMA SRK)</t>
  </si>
  <si>
    <t>29J172900032</t>
  </si>
  <si>
    <t>4B1205P42857</t>
  </si>
  <si>
    <t>HFXV5V1</t>
  </si>
  <si>
    <t>HORNO 07 (SISTEMA SRK)</t>
  </si>
  <si>
    <t>29J120702685</t>
  </si>
  <si>
    <t>4B1419P03725</t>
  </si>
  <si>
    <t>HORNO 08 (SISTEMA SRK)</t>
  </si>
  <si>
    <t>2SDQK02</t>
  </si>
  <si>
    <t>29J162900960</t>
  </si>
  <si>
    <t>0B2336L13652</t>
  </si>
  <si>
    <t>HORNO 09 (SISTEMA SRK)</t>
  </si>
  <si>
    <t>6N88DS2</t>
  </si>
  <si>
    <t>29J120702718</t>
  </si>
  <si>
    <t>4B1205P34544</t>
  </si>
  <si>
    <t>HORNO 11 (SISTEMA SRK)</t>
  </si>
  <si>
    <t>HFVT5V1</t>
  </si>
  <si>
    <t>29J202400487</t>
  </si>
  <si>
    <t>4B2051P14893</t>
  </si>
  <si>
    <t>HORNO 16 MDX/ANNEALING (SISTEMA SRK)</t>
  </si>
  <si>
    <t>4VC87V1</t>
  </si>
  <si>
    <t>29J120702715</t>
  </si>
  <si>
    <t>4B1128P48556</t>
  </si>
  <si>
    <t>IMPRESORA EXT. 8 (RECUBIERTO)</t>
  </si>
  <si>
    <t>4B2125P12110</t>
  </si>
  <si>
    <t>INSPECCION DE INCOMING (SISTEMA SRK)</t>
  </si>
  <si>
    <t>JQYZ842</t>
  </si>
  <si>
    <t>D6N250450625</t>
  </si>
  <si>
    <t>4B1226P30824</t>
  </si>
  <si>
    <t>INSPECCION FINAL LIDERES 200%</t>
  </si>
  <si>
    <t>8C8CWX3</t>
  </si>
  <si>
    <t>29J132400773</t>
  </si>
  <si>
    <t>4B1226P30876</t>
  </si>
  <si>
    <t>INSPECCION FINAL 200% (SISTEMA SRK)</t>
  </si>
  <si>
    <t>HFSV5V1</t>
  </si>
  <si>
    <t>4B1636P45196</t>
  </si>
  <si>
    <t>CD74QD2</t>
  </si>
  <si>
    <t>IT (DESARROLLO)</t>
  </si>
  <si>
    <t>D6J223301687</t>
  </si>
  <si>
    <t>LABORATORIO</t>
  </si>
  <si>
    <t>4B1846P13126</t>
  </si>
  <si>
    <t>LABORATORIO (BRAZO ROMER)</t>
  </si>
  <si>
    <t>906ZWK2</t>
  </si>
  <si>
    <t>LABORATORIO (LEAK&amp;BURST IZQ)</t>
  </si>
  <si>
    <t>LABORATORIO (LEAK&amp;BURST)</t>
  </si>
  <si>
    <t>H3W7LM1</t>
  </si>
  <si>
    <t>LABORATORIO (LIDERES DE METROLOGIA)</t>
  </si>
  <si>
    <t>8LFTDF3</t>
  </si>
  <si>
    <t>4B1712P40852</t>
  </si>
  <si>
    <t>LABORATORIO (MICROSCOPIO 1)</t>
  </si>
  <si>
    <t>3B1128X24241</t>
  </si>
  <si>
    <t>LABORATORIO (MICROSCOPIO)</t>
  </si>
  <si>
    <t>4B1205P42850</t>
  </si>
  <si>
    <t>4B1843P02340</t>
  </si>
  <si>
    <t>LABORATORIO (MITUTOYO PREMIER MDR)</t>
  </si>
  <si>
    <t>6ZK9BM2</t>
  </si>
  <si>
    <t>LABORATORIO (MITUTOYO PREMIER MV)</t>
  </si>
  <si>
    <t>55D99N2</t>
  </si>
  <si>
    <t>LABORATORIO (NUEVA)</t>
  </si>
  <si>
    <t>G73R0T2</t>
  </si>
  <si>
    <t>LABORATORIO MITUTOYO (IZQ)</t>
  </si>
  <si>
    <t>0B2337L23260</t>
  </si>
  <si>
    <t>LABORATORIO (PERFILOMETRO OPTICO)</t>
  </si>
  <si>
    <t>3HYH1N3</t>
  </si>
  <si>
    <t>LABORATORIO (PROYECTO MIXIN)</t>
  </si>
  <si>
    <t>9VNJT64</t>
  </si>
  <si>
    <t>LABORATORIO (RHEO&amp;MOONEY 2)</t>
  </si>
  <si>
    <t>4VC57V1</t>
  </si>
  <si>
    <t>LABORATORIO (TENSOMETER #1)</t>
  </si>
  <si>
    <t>LABORATORIO (TENSOMETER #2)</t>
  </si>
  <si>
    <t>4VBD7V1</t>
  </si>
  <si>
    <t>4B1438P00935</t>
  </si>
  <si>
    <t>5JCXNY2</t>
  </si>
  <si>
    <t>4B1131P19599</t>
  </si>
  <si>
    <t>4B1738P34153</t>
  </si>
  <si>
    <t>LABORATORIO MITUTOYO (DER)</t>
  </si>
  <si>
    <t>255CTR1</t>
  </si>
  <si>
    <t>252CTR1</t>
  </si>
  <si>
    <t>LABORATORIO COMPARTIDO</t>
  </si>
  <si>
    <t>0B2337L22774</t>
  </si>
  <si>
    <t>LAVADORA 02 (SISTEMA SRK)</t>
  </si>
  <si>
    <t>2CTKRP2</t>
  </si>
  <si>
    <t>4B1738P34064</t>
  </si>
  <si>
    <t>LAVADORA 01 (SISTEMA SRK)</t>
  </si>
  <si>
    <t>993NJB2</t>
  </si>
  <si>
    <t>29J172802113</t>
  </si>
  <si>
    <t>4B2216P30135</t>
  </si>
  <si>
    <t>D6J244303454</t>
  </si>
  <si>
    <t>LINEA 01 (SISTEMA SRK)</t>
  </si>
  <si>
    <t>6NY3DS2</t>
  </si>
  <si>
    <t>D6N251351375</t>
  </si>
  <si>
    <t>4B1128P48549</t>
  </si>
  <si>
    <t>LINEA 02 (MAQUINA A151)</t>
  </si>
  <si>
    <t>0B2214N06923</t>
  </si>
  <si>
    <t>LINEA 02 (SISTEMA SRK)</t>
  </si>
  <si>
    <t>HFPX5V1</t>
  </si>
  <si>
    <t>29J144501238</t>
  </si>
  <si>
    <t>4B1831P17618</t>
  </si>
  <si>
    <t>LINEA 03 (SISTEMA SRK)</t>
  </si>
  <si>
    <t>29J152601820</t>
  </si>
  <si>
    <t>4B1128P48545</t>
  </si>
  <si>
    <t>LINEA 04 (SISTEMA SRK)</t>
  </si>
  <si>
    <t>CLY9D92</t>
  </si>
  <si>
    <t>29J152401756</t>
  </si>
  <si>
    <t>4B1543P33243</t>
  </si>
  <si>
    <t>LINEA 05 (MAQUINA A75)</t>
  </si>
  <si>
    <t>4B2216P29174</t>
  </si>
  <si>
    <t>LINEA 05 (SISTEMA SRK)</t>
  </si>
  <si>
    <t>3QFVKH2</t>
  </si>
  <si>
    <t>29J141901826</t>
  </si>
  <si>
    <t>4B1128P48560</t>
  </si>
  <si>
    <t>LINEA 05-B (SISTEMA SRK) CLAMPS</t>
  </si>
  <si>
    <t>JJYRHS1</t>
  </si>
  <si>
    <t>4B1407P03344</t>
  </si>
  <si>
    <t>LINEA 06 (SISTEMA SRK)</t>
  </si>
  <si>
    <t>39G7QD2</t>
  </si>
  <si>
    <t>29J120702699</t>
  </si>
  <si>
    <t>4B1128P49729</t>
  </si>
  <si>
    <t>LINEA 07 (MAQUINA A159)</t>
  </si>
  <si>
    <t>0B2214N06677</t>
  </si>
  <si>
    <t>LINEA 07 (SISTEMA SRK)</t>
  </si>
  <si>
    <t>2JN2WP2</t>
  </si>
  <si>
    <t>29J152401761</t>
  </si>
  <si>
    <t>4B1128P49756</t>
  </si>
  <si>
    <t>LINEA 16 (SISTEMA SRK)</t>
  </si>
  <si>
    <t>2RLM0M2</t>
  </si>
  <si>
    <t>29J152601797</t>
  </si>
  <si>
    <t>ALESTRA UPS</t>
  </si>
  <si>
    <t>LINEA 20 (MAQUINA A305)</t>
  </si>
  <si>
    <t>4B2216P29036</t>
  </si>
  <si>
    <t>BL44D82</t>
  </si>
  <si>
    <t>LINEA 20 (SISTEMA SRK)</t>
  </si>
  <si>
    <t>29J144200434</t>
  </si>
  <si>
    <t>4B1510P06296</t>
  </si>
  <si>
    <t>HP3ZQP2</t>
  </si>
  <si>
    <t>D6N233550278</t>
  </si>
  <si>
    <t>LINEA 20B (SISTEMA SRK)</t>
  </si>
  <si>
    <t>5B2405TD2038</t>
  </si>
  <si>
    <t>HFTX5V1</t>
  </si>
  <si>
    <t>LINEA 22 (SISTEMA SRK)</t>
  </si>
  <si>
    <t>29J172000160</t>
  </si>
  <si>
    <t>4B1128P49746</t>
  </si>
  <si>
    <t>LINEA 304 (SISTEMA SRK)</t>
  </si>
  <si>
    <t>29J152401765</t>
  </si>
  <si>
    <t>4B1442P17831</t>
  </si>
  <si>
    <t>HFYY5V1</t>
  </si>
  <si>
    <t>LINEA 305 (SISTEMA SRK)</t>
  </si>
  <si>
    <t>29J194603700</t>
  </si>
  <si>
    <t>4B1324P40953</t>
  </si>
  <si>
    <t>4VB77V1</t>
  </si>
  <si>
    <t>LINEA 306 (SISTEMA SRK)</t>
  </si>
  <si>
    <t>4B1614P15353</t>
  </si>
  <si>
    <t>7Q6DD92</t>
  </si>
  <si>
    <t>LINEA 307 (SISTEMA SRK)</t>
  </si>
  <si>
    <t>29J161900172</t>
  </si>
  <si>
    <t>4B1438P01056</t>
  </si>
  <si>
    <t>G2S8F82</t>
  </si>
  <si>
    <t>LINEA 308 (SISTEMA SRK)</t>
  </si>
  <si>
    <t>29J132200105</t>
  </si>
  <si>
    <t>4B1510P07535</t>
  </si>
  <si>
    <t>CJX6D92</t>
  </si>
  <si>
    <t>LINEA 309 (SISTEMA SRK)</t>
  </si>
  <si>
    <t>29J120702688</t>
  </si>
  <si>
    <t>4B1636P45294</t>
  </si>
  <si>
    <t>LINEA 310 (SISTEMA SRK)</t>
  </si>
  <si>
    <t>29J163002054</t>
  </si>
  <si>
    <t>8W7GRP2</t>
  </si>
  <si>
    <t>4B1124P31887</t>
  </si>
  <si>
    <t>LINEA 311 (SISTEMA SRK)</t>
  </si>
  <si>
    <t>29J172900028</t>
  </si>
  <si>
    <t>4B1712P39701</t>
  </si>
  <si>
    <t>8XWLQD2</t>
  </si>
  <si>
    <t>LINEA 312 (SISTEMA SRK)</t>
  </si>
  <si>
    <t>29J173101383</t>
  </si>
  <si>
    <t>4B1711P14193</t>
  </si>
  <si>
    <t>JJYSHS1</t>
  </si>
  <si>
    <t>LINEA 313 (SISTEMA SRK)</t>
  </si>
  <si>
    <t>D6J223301693</t>
  </si>
  <si>
    <t>4B1205P34236</t>
  </si>
  <si>
    <t>3B1128X24264</t>
  </si>
  <si>
    <t>4VC77V1</t>
  </si>
  <si>
    <t>D6J220304565</t>
  </si>
  <si>
    <t>LINEA 314 (SISTEMA SRK)</t>
  </si>
  <si>
    <t>B7PSQD2</t>
  </si>
  <si>
    <t>LINEA 315 (SISTEMA SRK)</t>
  </si>
  <si>
    <t>D6N233550291</t>
  </si>
  <si>
    <t>0B2337L10100</t>
  </si>
  <si>
    <t>8XRGQD2</t>
  </si>
  <si>
    <t>LINEA 316 (SISTEMA SRK)</t>
  </si>
  <si>
    <t>D6J231311835</t>
  </si>
  <si>
    <t>0B2337L14374</t>
  </si>
  <si>
    <t>0B2213N03480</t>
  </si>
  <si>
    <t>LINEA 33 (MAQUINA 298)</t>
  </si>
  <si>
    <t>4B1613P65791</t>
  </si>
  <si>
    <t>LINEA 33 (PROYECTO X)</t>
  </si>
  <si>
    <t>CKDBD92</t>
  </si>
  <si>
    <t>LINEA 33 CRV (SISTEMA SRK)</t>
  </si>
  <si>
    <t>29J152401808</t>
  </si>
  <si>
    <t>4B2220P21852</t>
  </si>
  <si>
    <t>CDQ6D92</t>
  </si>
  <si>
    <t>LINEA 33 PROYECTO X (CRV)</t>
  </si>
  <si>
    <t>4B2216P30067</t>
  </si>
  <si>
    <t>LINEA 35 (MAQUINA A337)</t>
  </si>
  <si>
    <t>LINEA 35 (SISTEMA SRK)</t>
  </si>
  <si>
    <t>29J161300041</t>
  </si>
  <si>
    <t>4B1638P35214</t>
  </si>
  <si>
    <t>4B2216P28962</t>
  </si>
  <si>
    <t>LINEA 37 (MAQUINA A362)</t>
  </si>
  <si>
    <t>JJZ4HS1</t>
  </si>
  <si>
    <t>LINEA 37 (SISTEMA SRK)</t>
  </si>
  <si>
    <t>29J190900224</t>
  </si>
  <si>
    <t>4B1407P03751</t>
  </si>
  <si>
    <t>0B2213N03561</t>
  </si>
  <si>
    <t>LINEA 38 HRV (MAQUINA)</t>
  </si>
  <si>
    <t>LINEA 38 HRV (SISTEMA SRK)</t>
  </si>
  <si>
    <t>29J190400048</t>
  </si>
  <si>
    <t>4B2220P21624</t>
  </si>
  <si>
    <t>J4CRMN2</t>
  </si>
  <si>
    <t>LINEA 43 (SISTEMA SRK)</t>
  </si>
  <si>
    <t>D6J243500617</t>
  </si>
  <si>
    <t>0B2337L22649</t>
  </si>
  <si>
    <t>CKM6D92</t>
  </si>
  <si>
    <t>LINEA ANNEALING (SISTEMA SRK)</t>
  </si>
  <si>
    <t>29J163002068</t>
  </si>
  <si>
    <t>4B1613P65739</t>
  </si>
  <si>
    <t>LINEA 300 (S/V LINEA 300)</t>
  </si>
  <si>
    <t>26LBDX3</t>
  </si>
  <si>
    <t>4B2051P14994</t>
  </si>
  <si>
    <t>6DJN482</t>
  </si>
  <si>
    <t>4B1543P32033</t>
  </si>
  <si>
    <t>905ZWK2</t>
  </si>
  <si>
    <t>MEZZANINE PE (PE 3 TOYOTA)</t>
  </si>
  <si>
    <t>4B1950P32160</t>
  </si>
  <si>
    <t>BKDGCH2</t>
  </si>
  <si>
    <t>4B1146P49280</t>
  </si>
  <si>
    <t>8QJY0Q2</t>
  </si>
  <si>
    <t>MEZZANINE PE (PE HONDA)</t>
  </si>
  <si>
    <t>MEZZANINE PE (PE VOLKSWAGEN)</t>
  </si>
  <si>
    <t>4B1510P08204</t>
  </si>
  <si>
    <t>6DHZ482</t>
  </si>
  <si>
    <t>MEZZANINE PE GRAFICADORES HORNOS (SITE2)</t>
  </si>
  <si>
    <t>4B1510P08207</t>
  </si>
  <si>
    <t>FLF9BZ2</t>
  </si>
  <si>
    <t>MEZZANINE PE IMPRESORA 3D (JOSELUIS BUENDIA MUÑOZ)</t>
  </si>
  <si>
    <t>4B1146P47169</t>
  </si>
  <si>
    <t>HFWV5V1</t>
  </si>
  <si>
    <t>MOLDEADORA (SISTEMA SRK)</t>
  </si>
  <si>
    <t>29J120702703</t>
  </si>
  <si>
    <t>4B1124P31782</t>
  </si>
  <si>
    <t>2SDMK02</t>
  </si>
  <si>
    <t>MOLDES (SISTEMA SRK)</t>
  </si>
  <si>
    <t>4B1442P17913</t>
  </si>
  <si>
    <t>MONITORES (CONTROL DE ACCESOS)</t>
  </si>
  <si>
    <t>JQYYQ22</t>
  </si>
  <si>
    <t>MONITORES (VIGILANCIA)</t>
  </si>
  <si>
    <t>4B1128P48565</t>
  </si>
  <si>
    <t>4B1442P17914</t>
  </si>
  <si>
    <t>MTTO DE PLANTA (CCTV)</t>
  </si>
  <si>
    <t>8QHZ0Q2</t>
  </si>
  <si>
    <t>OF EMBARQUES (SUPERVISORES)</t>
  </si>
  <si>
    <t>CD76QD2</t>
  </si>
  <si>
    <t>OF DE EMBARQUES (LIDERES DE EMBARQUES)</t>
  </si>
  <si>
    <t>4B1638P36932</t>
  </si>
  <si>
    <t>MXJ6290B0W</t>
  </si>
  <si>
    <t>OF DE MTTO DE PLANTA (CONTROL DE SERVICIOS)</t>
  </si>
  <si>
    <t>4B1324P41139</t>
  </si>
  <si>
    <t>1FCCWX3</t>
  </si>
  <si>
    <t>OF DE MTTO DE PLANTA (TECNICOS DE PLANTA)</t>
  </si>
  <si>
    <t>4B1146P47218</t>
  </si>
  <si>
    <t>OF DE RECIBOS (CAPTURISTA DE PC #1)</t>
  </si>
  <si>
    <t>8QJT0Q2</t>
  </si>
  <si>
    <t>OF DE RECIBOS (CAPTURISTA DE PC #2)</t>
  </si>
  <si>
    <t>4B1711P12982</t>
  </si>
  <si>
    <t>8W5HRP2</t>
  </si>
  <si>
    <t>4VC97V1</t>
  </si>
  <si>
    <t>49CRM83</t>
  </si>
  <si>
    <t>D6J232505623</t>
  </si>
  <si>
    <t>OF DE RECIBOS (ETIQUETADO)</t>
  </si>
  <si>
    <t>5B2421TE6703</t>
  </si>
  <si>
    <t>8QHX0Q2</t>
  </si>
  <si>
    <t>OF DE RECIBOS (LIDERES DE RECIBOS)</t>
  </si>
  <si>
    <t>29J131700274</t>
  </si>
  <si>
    <t>4B1015P10654</t>
  </si>
  <si>
    <t>8Y0GQD2</t>
  </si>
  <si>
    <t>OF DE RECIBOS (MATERIALISTAS)</t>
  </si>
  <si>
    <t>4B1636P45279</t>
  </si>
  <si>
    <t>OF DE RECIBOS (SUPERVISOR DE RECIBOS)</t>
  </si>
  <si>
    <t>4B1508P05782</t>
  </si>
  <si>
    <t>9031XK2</t>
  </si>
  <si>
    <t>OF DE TSP #2</t>
  </si>
  <si>
    <t>4B1508P05614</t>
  </si>
  <si>
    <t>6DHY482</t>
  </si>
  <si>
    <t>4B1205P34230</t>
  </si>
  <si>
    <t>OF DE TSP</t>
  </si>
  <si>
    <t>6DHV482</t>
  </si>
  <si>
    <t>OF PE PROCESO (TECNICOS DE PE #1)</t>
  </si>
  <si>
    <t>4B1442P17968</t>
  </si>
  <si>
    <t>8QJV0Q2</t>
  </si>
  <si>
    <t>4B1205P42853</t>
  </si>
  <si>
    <t>0B2331L03450</t>
  </si>
  <si>
    <t>4B1146P49271</t>
  </si>
  <si>
    <t>CD69QD2</t>
  </si>
  <si>
    <t>PE (JAULA IMPRESORA LASER)</t>
  </si>
  <si>
    <t>4B1128P49779</t>
  </si>
  <si>
    <t>PROTECTOR 5 (SISTEMA SRK)</t>
  </si>
  <si>
    <t>29J120702708</t>
  </si>
  <si>
    <t>4B1146P47224</t>
  </si>
  <si>
    <t>29J190263176</t>
  </si>
  <si>
    <t>QA (PROYECTO DE TRACEABILIDAD) CARRO #1</t>
  </si>
  <si>
    <t>RACK 1 (NIVEL INFERIOR)</t>
  </si>
  <si>
    <t>0B2326L06542</t>
  </si>
  <si>
    <t>RACK 1 (NIVEL MEDIO)</t>
  </si>
  <si>
    <t>4B1711P11636</t>
  </si>
  <si>
    <t>RACK 2</t>
  </si>
  <si>
    <t>5B2421TE6778</t>
  </si>
  <si>
    <t>RACK 4</t>
  </si>
  <si>
    <t>4B1508P05623</t>
  </si>
  <si>
    <t>RACK 5</t>
  </si>
  <si>
    <t>4B1131P36878</t>
  </si>
  <si>
    <t>RACK 3</t>
  </si>
  <si>
    <t>4B1636P45597</t>
  </si>
  <si>
    <t>RACK 6</t>
  </si>
  <si>
    <t>4B1831P17653</t>
  </si>
  <si>
    <t>RACK DE ENLACES (NIVEL INFERIOR)</t>
  </si>
  <si>
    <t>4B2216P30101</t>
  </si>
  <si>
    <t>RASPBERRY (EXT. 5 CAPAS)</t>
  </si>
  <si>
    <t>JJT8922</t>
  </si>
  <si>
    <t>4B1738P34080</t>
  </si>
  <si>
    <t>RETRABAJO (SISTEMA SRK)</t>
  </si>
  <si>
    <t>SALA CHIHUAHUA</t>
  </si>
  <si>
    <t>JQYZQ22</t>
  </si>
  <si>
    <t>4B1124P31821</t>
  </si>
  <si>
    <t>SALA DOJO</t>
  </si>
  <si>
    <t>8LF3FF3</t>
  </si>
  <si>
    <t>SALA ENTRENAMIENTO</t>
  </si>
  <si>
    <t>DC8CWX3</t>
  </si>
  <si>
    <t>4B1821P03680</t>
  </si>
  <si>
    <t>4B1205P35398</t>
  </si>
  <si>
    <t>SITE 1 (PROJECTO TASHIBANA)</t>
  </si>
  <si>
    <t>CD6FQD2</t>
  </si>
  <si>
    <t>4B1541P30414</t>
  </si>
  <si>
    <t>SITE 1 (SERVIDOR DE ESCANEOS)</t>
  </si>
  <si>
    <t>3B1128X24257</t>
  </si>
  <si>
    <t>CD6DQD2</t>
  </si>
  <si>
    <t>MONITOREO (VIGILANCIA)</t>
  </si>
  <si>
    <t>4B1128P49752</t>
  </si>
  <si>
    <t>4B1128P49730</t>
  </si>
  <si>
    <t>4B2216P23254</t>
  </si>
  <si>
    <t>29J120702697</t>
  </si>
  <si>
    <t>29J131300387</t>
  </si>
  <si>
    <t>5DY3SL1</t>
  </si>
  <si>
    <t>29J173101382</t>
  </si>
  <si>
    <t>4CFZSD2</t>
  </si>
  <si>
    <t>29J180501422</t>
  </si>
  <si>
    <t>0B2449L46499</t>
  </si>
  <si>
    <t>AUTOCLAVE 6 (SISTEMA SRK)</t>
  </si>
  <si>
    <t>7VNJT64</t>
  </si>
  <si>
    <t>4VNJT64</t>
  </si>
  <si>
    <t>SOPORTE (SITE 1 MONITOREO)</t>
  </si>
  <si>
    <t>CVP2Z12</t>
  </si>
  <si>
    <t>DM44D82</t>
  </si>
  <si>
    <t>2305H120502</t>
  </si>
  <si>
    <t>SOPORTE (SITE 2 STOCK)</t>
  </si>
  <si>
    <t>D6J242008114</t>
  </si>
  <si>
    <t>0B2442L00789</t>
  </si>
  <si>
    <t>4B1015P10593</t>
  </si>
  <si>
    <t>4B1124P31706</t>
  </si>
  <si>
    <t>6DHX482</t>
  </si>
  <si>
    <t>SPC (LIDERES DE CALIDAD)</t>
  </si>
  <si>
    <t>4B1510P08209</t>
  </si>
  <si>
    <t>SPC (MEJORA CONTINUA (CALIDAD))</t>
  </si>
  <si>
    <t>9032XK2</t>
  </si>
  <si>
    <t>4B1831P17796</t>
  </si>
  <si>
    <t>SUPERVISOR CRV (DERECHA)</t>
  </si>
  <si>
    <t>DB8CWX3</t>
  </si>
  <si>
    <t>4B1128P48590</t>
  </si>
  <si>
    <t>TOOLCRIB (CCTV)</t>
  </si>
  <si>
    <t>4B1442P17838</t>
  </si>
  <si>
    <t>TOOLCRIB (TECNICO DE TOOLCRIB)</t>
  </si>
  <si>
    <t>8QJZ0Q2</t>
  </si>
  <si>
    <t>4B1843P02109</t>
  </si>
  <si>
    <t>TOOLCRIB (VENTANILLA)</t>
  </si>
  <si>
    <t>9Y4PQD2</t>
  </si>
  <si>
    <t>0B2441L69598</t>
  </si>
  <si>
    <t>VIGILANCIA (DVR 3)</t>
  </si>
  <si>
    <t>4B1324P40947</t>
  </si>
  <si>
    <t>VIGILANCIA (DVR 4)</t>
  </si>
  <si>
    <t>4B1635P02286</t>
  </si>
  <si>
    <t>VIGILANCIA (DVR 6)</t>
  </si>
  <si>
    <t>4B1544P34409</t>
  </si>
  <si>
    <t>VIGILANCIA (PUERTA MADERA ABAJO DVRS)</t>
  </si>
  <si>
    <t>4B1510P06308</t>
  </si>
  <si>
    <t>VIGILANCIA (REPISA)</t>
  </si>
  <si>
    <t>4B1015P10520</t>
  </si>
  <si>
    <t>4B1015P22391</t>
  </si>
  <si>
    <t>4B1205P42855</t>
  </si>
  <si>
    <t>D6J243416340</t>
  </si>
  <si>
    <t>5B2442TC3069</t>
  </si>
  <si>
    <t>JBB4DB4</t>
  </si>
  <si>
    <t>HBB4DB4</t>
  </si>
  <si>
    <t>29J120702723</t>
  </si>
  <si>
    <t>45T8922</t>
  </si>
  <si>
    <t>4HK2XR1</t>
  </si>
  <si>
    <t>HFWZ5V1</t>
  </si>
  <si>
    <t>29J120702691</t>
  </si>
  <si>
    <t>29J152401694</t>
  </si>
  <si>
    <t>8QJS0Q2</t>
  </si>
  <si>
    <t>DOCUMENTACION PE (PAULINA RAMOS)</t>
  </si>
  <si>
    <t>29J161602084</t>
  </si>
  <si>
    <t>5B2442TC3054</t>
  </si>
  <si>
    <t>2317T120633</t>
  </si>
  <si>
    <t>HG006V1</t>
  </si>
  <si>
    <t>4B1015P10977</t>
  </si>
  <si>
    <t>FJ1N0M2</t>
  </si>
  <si>
    <t>FVB8XD2</t>
  </si>
  <si>
    <t>3B1128X24305</t>
  </si>
  <si>
    <t>JQYY842</t>
  </si>
  <si>
    <t>4BP0KH2</t>
  </si>
  <si>
    <t>6057CP2</t>
  </si>
  <si>
    <t>2RFL0M2</t>
  </si>
  <si>
    <t>5DX7SL1</t>
  </si>
  <si>
    <t>D6N251351295</t>
  </si>
  <si>
    <t>29J120702702</t>
  </si>
  <si>
    <t>FBCGXD2</t>
  </si>
  <si>
    <t>FLP8ZG2</t>
  </si>
  <si>
    <t>D6N253150096</t>
  </si>
  <si>
    <t>D6N253150091</t>
  </si>
  <si>
    <t>0B2532L02520</t>
  </si>
  <si>
    <t>0B2532L03173</t>
  </si>
  <si>
    <t>29J153202344</t>
  </si>
  <si>
    <t>SIN NUMERO DE SERIE EN LINEAS</t>
  </si>
  <si>
    <t>OF PE PROCESO (MONITOREO DE HORNOS)</t>
  </si>
  <si>
    <t>OF DE PROCESO (TECNICOS DE PE #1)</t>
  </si>
  <si>
    <t>OF DE PROCESO (MONITOREO DE HORNOS)</t>
  </si>
  <si>
    <t>6VN1XQ1</t>
  </si>
  <si>
    <t>5DX2SL1</t>
  </si>
  <si>
    <t>CZDJDP1</t>
  </si>
  <si>
    <t>5DY4SL1</t>
  </si>
  <si>
    <t>H9RJ9P1</t>
  </si>
  <si>
    <t>347SGQ1</t>
  </si>
  <si>
    <t>BMLWJM1</t>
  </si>
  <si>
    <t>5DY2SL1</t>
  </si>
  <si>
    <t>5DX4SL1</t>
  </si>
  <si>
    <t>347WGQ1</t>
  </si>
  <si>
    <t>349QGQ1</t>
  </si>
  <si>
    <t>DQK2LN1</t>
  </si>
  <si>
    <t>5DX3SL1</t>
  </si>
  <si>
    <t>DQJ2LN1</t>
  </si>
  <si>
    <t>H9RK9P1</t>
  </si>
  <si>
    <t>HZBJNM1</t>
  </si>
  <si>
    <t>HZB1PM1</t>
  </si>
  <si>
    <t>21LC0M2</t>
  </si>
  <si>
    <t>348QGQ1</t>
  </si>
  <si>
    <t>5DW7SL1</t>
  </si>
  <si>
    <t>349SGQ1</t>
  </si>
  <si>
    <t>DQJ3LN1</t>
  </si>
  <si>
    <t>346SGQ1</t>
  </si>
  <si>
    <t>MXJ0020210</t>
  </si>
  <si>
    <t>348WGQ1</t>
  </si>
  <si>
    <t>345XGQ1</t>
  </si>
  <si>
    <t>347RGQ1</t>
  </si>
  <si>
    <t>EXT. 2 (IMPRESORA HITACHI)</t>
  </si>
  <si>
    <t>NO</t>
  </si>
  <si>
    <t>ID EQUIPO</t>
  </si>
  <si>
    <t>GRIS</t>
  </si>
  <si>
    <t>AZUL</t>
  </si>
  <si>
    <t>6ZJTDF3</t>
  </si>
  <si>
    <t>ÁREA INSPECCIÓN DE INCOMING (LIDER)</t>
  </si>
  <si>
    <t xml:space="preserve">AUDITORIA DE PROCESOS </t>
  </si>
  <si>
    <t>AUTOCLAVE  (PANEL DE CONTROL AUT.2)</t>
  </si>
  <si>
    <t>VERDE</t>
  </si>
  <si>
    <t>CCTV PARED ARRIBA FRENTE A LAS 300´S</t>
  </si>
  <si>
    <t>CONECTORES CHECKER  (SISTEMA SRK)</t>
  </si>
  <si>
    <t>9B2118A01250</t>
  </si>
  <si>
    <t>CONECTORES SUPERVISOR</t>
  </si>
  <si>
    <t>CTRL DOCUMENTOS (CTRL DOCS #2)</t>
  </si>
  <si>
    <t>EXT. 1 (LASER )</t>
  </si>
  <si>
    <t>EXT. 2  (IMPRESORA HITACHI)</t>
  </si>
  <si>
    <t>CN02D81</t>
  </si>
  <si>
    <t xml:space="preserve">EXT. 2 MONITOREO </t>
  </si>
  <si>
    <t>EXT. 5 CAPAS  (IMPRESORA HITACHI)</t>
  </si>
  <si>
    <t>EXT. MDX (MONITOREO)</t>
  </si>
  <si>
    <t>HORNO 16 MDX/ANNEALING  (SISTEMA SRK)</t>
  </si>
  <si>
    <t>INSPECCIÓN DE INCOMING (SISTEMA SRK)</t>
  </si>
  <si>
    <t>INSPECCIÓN FINAL  200% (SISTEMA SRK)</t>
  </si>
  <si>
    <t>INSPECCION FINAL LIDERES  200%</t>
  </si>
  <si>
    <t>4B1205P35401</t>
  </si>
  <si>
    <t>J5LBDX3</t>
  </si>
  <si>
    <t>IT (PROYECTO RODRIGO REYES)</t>
  </si>
  <si>
    <t>IT (SITE 1 REPARACION)</t>
  </si>
  <si>
    <t>4B1128P49738</t>
  </si>
  <si>
    <t>IT (SITE 1 STOCK)</t>
  </si>
  <si>
    <t>347TGQ1</t>
  </si>
  <si>
    <t>86Z9GK2</t>
  </si>
  <si>
    <t>IT DESARROLLO</t>
  </si>
  <si>
    <t>8SSC80R27445J1DG84301MX</t>
  </si>
  <si>
    <t>LABORATORIO (RHEO &amp;MOONEY 2)</t>
  </si>
  <si>
    <t>LABORATORIO (TENSOMETER #2 )</t>
  </si>
  <si>
    <t>LAVADORA 1 (SISTEMA SRK)</t>
  </si>
  <si>
    <t>LINEA 02 (SISTEMAS SRK)</t>
  </si>
  <si>
    <t>LINEA 02 PROYECTO INGENIERIA (MAQUINA A207)</t>
  </si>
  <si>
    <t>LINEA 02 PROYECTO INGENIERIA (MAQUINA A208)</t>
  </si>
  <si>
    <t>LINEA 02 PROYECTO INGENIERIA(MAQUINA A207)</t>
  </si>
  <si>
    <t>LINEA 02 PROYECTO INGENIERIA(MAQUINA A208)</t>
  </si>
  <si>
    <t>346XGQ1</t>
  </si>
  <si>
    <t>LINEA 14 (SISTEMA SRK)</t>
  </si>
  <si>
    <t>LINEA 20 PROYECTO INGENIERIA (MAQUINA A302)</t>
  </si>
  <si>
    <t>LINEA 20 PROYECTO INGENIERIA (MAQUINA A303)</t>
  </si>
  <si>
    <t>LINEA 20 PROYECTO INGENIRIA (MAQUINA A302)</t>
  </si>
  <si>
    <t>LINEA 20 PROYECTO INGENIRIA (MAQUINA A303)</t>
  </si>
  <si>
    <t>LINEA 313 (SISTEMA SRK) </t>
  </si>
  <si>
    <t>LINEA 37 MDX (SISTEMA SRK)</t>
  </si>
  <si>
    <t>4VB57V1</t>
  </si>
  <si>
    <t>LINEA 41 (SISTEMA SRK)</t>
  </si>
  <si>
    <t>LINEA 7 (SISTEMA SRK)</t>
  </si>
  <si>
    <t>LINEAS 300 (S/V LINEA 300)</t>
  </si>
  <si>
    <t>MEZZANINE PE (PE 1 NIS+B226+B415:B463</t>
  </si>
  <si>
    <t>MEZZANINE PE GRAFICADORES HORNOS (SITE 2)</t>
  </si>
  <si>
    <t>940400104647</t>
  </si>
  <si>
    <t>JQYXR22</t>
  </si>
  <si>
    <t>OF. DE CALIBRACIÓN</t>
  </si>
  <si>
    <t>OF. DE EMBARQUES (LIDERES DE EMBARQUES)</t>
  </si>
  <si>
    <t>OF. DE MTTO DE PLANTA (CONTROL DE SERVICIOS)</t>
  </si>
  <si>
    <t>OF. DE MTTO DE PLANTA (TECNICOS DE PLANTA)</t>
  </si>
  <si>
    <t>4B1638P37040</t>
  </si>
  <si>
    <t>OF. DE RECIBOS (CAPTURISTA DE PC #1)</t>
  </si>
  <si>
    <t>OF. DE RECIBOS (CAPTURISTA DE PC #2)</t>
  </si>
  <si>
    <t>BDCCWX3</t>
  </si>
  <si>
    <t>OF. DE RECIBOS (CAPTURISTA DE PC)</t>
  </si>
  <si>
    <t>OF. DE RECIBOS (LIDERES DE RECIBOS)</t>
  </si>
  <si>
    <t>OF. DE RECIBOS (MATERIALISTAS)</t>
  </si>
  <si>
    <t>OF. DE RECIBOS (SUPERVISOR DE RECIBOS)</t>
  </si>
  <si>
    <t>CD6BQD2</t>
  </si>
  <si>
    <t>OF. DE TSP </t>
  </si>
  <si>
    <t>OF. DE TSP #2</t>
  </si>
  <si>
    <t>OF. PE PROCESO (TECNICOS DE PE #1)</t>
  </si>
  <si>
    <t>OF. PE PROCESO (TECNICOS DE PE #2)</t>
  </si>
  <si>
    <t>OF. PE PROCESO (TECNICOS DE PE #3)</t>
  </si>
  <si>
    <t>OF.PPAL. (SALA OSAKA)</t>
  </si>
  <si>
    <t>0B2636L13328</t>
  </si>
  <si>
    <t>OF.PPAL. EHS(RUTH LOZANO)</t>
  </si>
  <si>
    <t>46LBDX3</t>
  </si>
  <si>
    <t>PROTECTOR 5 (SISTEMA SRK)</t>
  </si>
  <si>
    <t>4B1749P30447</t>
  </si>
  <si>
    <t>4B2052P17894</t>
  </si>
  <si>
    <t>SALA DOYO</t>
  </si>
  <si>
    <t>SITE 1 (PROYECTO TASHIBANA)</t>
  </si>
  <si>
    <t>SITE 1 REPARACION (C1432)</t>
  </si>
  <si>
    <t>SOPORTE IT (CCTV)</t>
  </si>
  <si>
    <t>4B1544P34410</t>
  </si>
  <si>
    <t>CD68QD2</t>
  </si>
  <si>
    <t>SPC (LIDERES DE SPC)</t>
  </si>
  <si>
    <t>SUPERVISOR CRV (Dercha)</t>
  </si>
  <si>
    <t>4B1711P14339</t>
  </si>
  <si>
    <t>LOCALIZAR</t>
  </si>
  <si>
    <t>9B1835A19461</t>
  </si>
  <si>
    <t>9B1835A19462</t>
  </si>
  <si>
    <t>9B1831A02357</t>
  </si>
  <si>
    <t>9B1832A02956</t>
  </si>
  <si>
    <t>9B1831A02314</t>
  </si>
  <si>
    <t>9B1836A28332</t>
  </si>
  <si>
    <t>9B1832A03224</t>
  </si>
  <si>
    <t>4B1843P02137</t>
  </si>
  <si>
    <t>4B1843P02338</t>
  </si>
  <si>
    <t>4B1951P01383</t>
  </si>
  <si>
    <t>4B2110P14744</t>
  </si>
  <si>
    <t>4B2124P06508</t>
  </si>
  <si>
    <t>4B2125P01170</t>
  </si>
  <si>
    <t>4B2125P03016</t>
  </si>
  <si>
    <t>9B2121A04849</t>
  </si>
  <si>
    <t>4B2216P28035</t>
  </si>
  <si>
    <t>0B2213N03877</t>
  </si>
  <si>
    <t>0B2213N04213</t>
  </si>
  <si>
    <t>4B2216P23360</t>
  </si>
  <si>
    <t>4B2216P23737</t>
  </si>
  <si>
    <t>0B2326L06507</t>
  </si>
  <si>
    <t>9B2239A03247</t>
  </si>
  <si>
    <t>0B2331L16699</t>
  </si>
  <si>
    <t>0B2337L11388</t>
  </si>
  <si>
    <t>4B2220P21849</t>
  </si>
  <si>
    <t>4B1128P48571</t>
  </si>
  <si>
    <t xml:space="preserve">NOMBRE DE DISPOSITIVO </t>
  </si>
  <si>
    <t>COMENTARIOS</t>
  </si>
  <si>
    <t>COMPUTADORA DE ESCRITORIO</t>
  </si>
  <si>
    <t>UPS</t>
  </si>
  <si>
    <t>IMPRESORA TERMICA</t>
  </si>
  <si>
    <t>0B2336L13328</t>
  </si>
  <si>
    <t>CODIGO DE COLORES</t>
  </si>
  <si>
    <t>ROJO</t>
  </si>
  <si>
    <t>ROSA</t>
  </si>
  <si>
    <t xml:space="preserve">EQUIPOS CON SISTEMA SRK DE LINEAS </t>
  </si>
  <si>
    <t>LABORATORIO (MIXING)</t>
  </si>
  <si>
    <t>SITE (PROYECTO SAPI 1) (SISTEMA SRK)</t>
  </si>
  <si>
    <t>SITE (PROYECTO SAPI 2) (SISTEMA SRK)</t>
  </si>
  <si>
    <t>CORRECTIVOS</t>
  </si>
  <si>
    <t>AMARILLO</t>
  </si>
  <si>
    <t>MEZZANINE PE (PE 1 NISSAN)</t>
  </si>
  <si>
    <t>LABORATORIO (MICROSCOPIO 4)</t>
  </si>
  <si>
    <t>LABORATORIO (MICROSCOPIO 2)</t>
  </si>
  <si>
    <t>LABORATORIO (MICROSCOPIO 3)</t>
  </si>
  <si>
    <t>29J120702716</t>
  </si>
  <si>
    <t>MOLDES (JAULA)</t>
  </si>
  <si>
    <t xml:space="preserve">NO REQUIERE IMRESION DE ETIQUETAS </t>
  </si>
  <si>
    <t xml:space="preserve">NO REQUIERE IMPRESION DE ETIQUETAS </t>
  </si>
  <si>
    <t>IMPRESORA COMPARTIDA CON CONECTORES 104</t>
  </si>
  <si>
    <t>COLOR</t>
  </si>
  <si>
    <t xml:space="preserve">CONECTORES SUPERVISOR </t>
  </si>
  <si>
    <t>R2,3,5</t>
  </si>
  <si>
    <t>TODOS LOS EQUIPOS QUE NO TIENEN SISTEMA SRK</t>
  </si>
  <si>
    <t>TODOS LOS EQUIPOS QUE NO ESTAN EN AREA DE PRODUCCION</t>
  </si>
  <si>
    <t>SOPORTE SITE 1 Y 2 STOCK</t>
  </si>
  <si>
    <t>TODOS LOS EQUIPOS QUE ESTAN EN INDIVIDUAL</t>
  </si>
  <si>
    <t>USA IMPRESORA TIBE 50 UBICADA EN LOCKERS</t>
  </si>
  <si>
    <t>ACTIVO FIJO</t>
  </si>
  <si>
    <t>DTR-1051555</t>
  </si>
  <si>
    <t>DTR-1204807</t>
  </si>
  <si>
    <t>NA</t>
  </si>
  <si>
    <t>DTR-1281601</t>
  </si>
  <si>
    <t>DTR-1204803</t>
  </si>
  <si>
    <t>DTR-1204805</t>
  </si>
  <si>
    <t>DTR-1204806</t>
  </si>
  <si>
    <t>DTR-1233339</t>
  </si>
  <si>
    <t>DTR-1233338</t>
  </si>
  <si>
    <t>DTR-1204802</t>
  </si>
  <si>
    <t>DTR-1233327</t>
  </si>
  <si>
    <t>DTR-1204809</t>
  </si>
  <si>
    <t>equipo 1 y 2 comparten ups</t>
  </si>
  <si>
    <t>ENTRENAMIENTO  (VIRTUAL VIDEOS 3D)</t>
  </si>
  <si>
    <t>proyecto geza</t>
  </si>
  <si>
    <t>LINEA 01 (ENSAMBLE) SITE</t>
  </si>
  <si>
    <t>LINEA 01 (OPERACIONES SECUNDARIAS)</t>
  </si>
  <si>
    <t>ENTRENAMIENTO (LIDERES)</t>
  </si>
  <si>
    <t>RACK 1 (NIVEL MEDIO SITE 1)</t>
  </si>
  <si>
    <t>INSPECCION FINAL MESA DE INSPECCION 200% (MESA 1)</t>
  </si>
  <si>
    <t xml:space="preserve">SI TIENE NUMERO AGREGAR </t>
  </si>
  <si>
    <t>NO TIENE IMPRESORA EL PERSONAL TIENE QUE IR A IMPRIMIR EN EXT 7</t>
  </si>
  <si>
    <t>OF. CALIBRACION</t>
  </si>
  <si>
    <t>ESTABLECER LUGAR EN EL RACK REFERENTE A UBICACIÓN</t>
  </si>
  <si>
    <t xml:space="preserve">AREA AUTOCLAVE (S/V AUTOCLAVE) </t>
  </si>
  <si>
    <t>comparte videos con equipo líder</t>
  </si>
  <si>
    <t>SOPORTE SITE 1 STOCK (C1)</t>
  </si>
  <si>
    <t>SOPORTE SITE 1 STOCK (D)</t>
  </si>
  <si>
    <t>SOPORTE SITE 1 STOCK (A1)</t>
  </si>
  <si>
    <t>SOPORTE (REPARACION C1937,B4)</t>
  </si>
  <si>
    <t>SOPORTE (REPARACION C1825,B4)</t>
  </si>
  <si>
    <t>UBICAR EN SITE</t>
  </si>
  <si>
    <t>SOPORTE (REPARACION C1774,A1)</t>
  </si>
  <si>
    <t>SOPORTE (REPARACION C1786,A1)</t>
  </si>
  <si>
    <t>SOPORTE (REPARACION C1787,A1)</t>
  </si>
  <si>
    <t>NOMENCLATURA DE UBICACIONES SITE 1</t>
  </si>
  <si>
    <t>NIVELES: 1 al 6</t>
  </si>
  <si>
    <t>4B1638P35219</t>
  </si>
  <si>
    <t>MOTIVO BAJA</t>
  </si>
  <si>
    <t>CALENDARIZAR (SI, NO)</t>
  </si>
  <si>
    <t>CTS37J2</t>
  </si>
  <si>
    <t>HFZR5V1</t>
  </si>
  <si>
    <t>OF DE RECIBOS</t>
  </si>
  <si>
    <t xml:space="preserve">INSTALADO TEMPORALMENTE POR AUDITORIA </t>
  </si>
  <si>
    <t>LABORATORIO (LEAK&amp;BURST DERECHA)</t>
  </si>
  <si>
    <t>LABORATORIO (LEAK&amp;BURST IZQUIERDA)</t>
  </si>
  <si>
    <t>PLANTA</t>
  </si>
  <si>
    <t>B1</t>
  </si>
  <si>
    <t>76LBDX3</t>
  </si>
  <si>
    <t xml:space="preserve">QA (LIDERES DE CALIDAD 200%) </t>
  </si>
  <si>
    <t>4B1215P29157</t>
  </si>
  <si>
    <t>D6N231350616</t>
  </si>
  <si>
    <t>BCKPDH2</t>
  </si>
  <si>
    <t>AUDITORIA 200% (SISTEMA SRK)</t>
  </si>
  <si>
    <t>0B2137N07360</t>
  </si>
  <si>
    <t>4CG0TD2</t>
  </si>
  <si>
    <t>BEV 1 FINISHGOOD (SISTEMA SRK)</t>
  </si>
  <si>
    <t>0B2442L00771</t>
  </si>
  <si>
    <t>D6N250450615</t>
  </si>
  <si>
    <t>4CF6TD2</t>
  </si>
  <si>
    <t>BEV 1 PRE ENSAMBLE (SISTEMA SRK)</t>
  </si>
  <si>
    <t>0B2439L05488</t>
  </si>
  <si>
    <t>D6N250450643</t>
  </si>
  <si>
    <t>6DJ0582</t>
  </si>
  <si>
    <t>EHS (CAPTURISTA DE SCRAP)</t>
  </si>
  <si>
    <t>4B1508P05779</t>
  </si>
  <si>
    <t>CVQ0Z12</t>
  </si>
  <si>
    <t>HORNO 01 (SISTEMA SRK)</t>
  </si>
  <si>
    <t>4B1543P33154</t>
  </si>
  <si>
    <t>29J152401795</t>
  </si>
  <si>
    <t>HORNO 03 (SISTEMA SRK)</t>
  </si>
  <si>
    <t>4B1329P43899</t>
  </si>
  <si>
    <t>29J134702571</t>
  </si>
  <si>
    <t>HFTT5V1</t>
  </si>
  <si>
    <t>HORNO 04 (SISTEMA SRK)</t>
  </si>
  <si>
    <t>4B1518P43330</t>
  </si>
  <si>
    <t>FZC5922</t>
  </si>
  <si>
    <t>HORNO 06 (SISTEMA SRK)</t>
  </si>
  <si>
    <t>4B1442P17851</t>
  </si>
  <si>
    <t>29J120702704</t>
  </si>
  <si>
    <t>4VBC7V1</t>
  </si>
  <si>
    <t>HORNO 10 (SISTEMA SRK)</t>
  </si>
  <si>
    <t>4B1951P01405</t>
  </si>
  <si>
    <t>29J161101841</t>
  </si>
  <si>
    <t>6N58DS2</t>
  </si>
  <si>
    <t>HORNO 12 (SISTEMA SRK)</t>
  </si>
  <si>
    <t>4B1510P08226</t>
  </si>
  <si>
    <t>29J161101854</t>
  </si>
  <si>
    <t>4V947V1</t>
  </si>
  <si>
    <t>HORNO 13 (SISTEMA SRK)</t>
  </si>
  <si>
    <t>29J181600865</t>
  </si>
  <si>
    <t>8BRKHH2</t>
  </si>
  <si>
    <t>HORNO 15 (SISTEMA SRK)</t>
  </si>
  <si>
    <t>29J194900756</t>
  </si>
  <si>
    <t>4V8D7V1</t>
  </si>
  <si>
    <t>HORNO 17 (SISTEMA SRK)</t>
  </si>
  <si>
    <t>4B1015P22102</t>
  </si>
  <si>
    <t>29J144200463</t>
  </si>
  <si>
    <t>2B5BCM2</t>
  </si>
  <si>
    <t>LINEA 08 (SISTEMA SRK)</t>
  </si>
  <si>
    <t>4B1015P10681</t>
  </si>
  <si>
    <t>29J151802591</t>
  </si>
  <si>
    <t>HFWW5V1</t>
  </si>
  <si>
    <t>LINEA 09 (SISTEMA SRK)</t>
  </si>
  <si>
    <t>4B1124P31877</t>
  </si>
  <si>
    <t>1M18XD2</t>
  </si>
  <si>
    <t>LINEA 10 (SISTEMA SRK)</t>
  </si>
  <si>
    <t>29J120702712</t>
  </si>
  <si>
    <t>440FND2</t>
  </si>
  <si>
    <t>LINEA 11 (SISTEMA SRK)</t>
  </si>
  <si>
    <t>D6N232651080</t>
  </si>
  <si>
    <t>HFSQ5V1</t>
  </si>
  <si>
    <t>LINEA 12 (SISTEMA SRK)</t>
  </si>
  <si>
    <t>4B1128P49260</t>
  </si>
  <si>
    <t>D6N232750713</t>
  </si>
  <si>
    <t>9DWFHQ2</t>
  </si>
  <si>
    <t>LINEA 13 (SISTEMA SRK)</t>
  </si>
  <si>
    <t>4B1128P47894</t>
  </si>
  <si>
    <t>29J153202221</t>
  </si>
  <si>
    <t>GL4PXM2</t>
  </si>
  <si>
    <t>LINEA 15 (SISTEMA SRK)</t>
  </si>
  <si>
    <t>4B1128P49751</t>
  </si>
  <si>
    <t>0B2213N03498</t>
  </si>
  <si>
    <t>LINEA 18 (MAQUINA A272)</t>
  </si>
  <si>
    <t>HFXZ5V1</t>
  </si>
  <si>
    <t>LINEA 18 (SISTEMA SRK)</t>
  </si>
  <si>
    <t>4B1146P47194</t>
  </si>
  <si>
    <t>29J152401783</t>
  </si>
  <si>
    <t>B03DPD2</t>
  </si>
  <si>
    <t>LINEA19 (SISTEMA SRK)</t>
  </si>
  <si>
    <t>4B1816P42619</t>
  </si>
  <si>
    <t>29J153202203</t>
  </si>
  <si>
    <t>0B2213N03556</t>
  </si>
  <si>
    <t>LINEA 19 (MAQUINA A275)</t>
  </si>
  <si>
    <t>7K44D82</t>
  </si>
  <si>
    <t>LINEA 23 (SISTEMA SRK)</t>
  </si>
  <si>
    <t>29J152304122</t>
  </si>
  <si>
    <t>54PYGP2</t>
  </si>
  <si>
    <t>LINEA 24 (SISTEMA SRK)</t>
  </si>
  <si>
    <t>29J161101829</t>
  </si>
  <si>
    <t>HFNY5V1</t>
  </si>
  <si>
    <t>LINEA 29 (SISTEMA SRK)</t>
  </si>
  <si>
    <t>4B1442P17951</t>
  </si>
  <si>
    <t>D6J220400105</t>
  </si>
  <si>
    <t>HFTY5V1</t>
  </si>
  <si>
    <t>LINEA 301 (SISTEMA SRK)</t>
  </si>
  <si>
    <t>4B1226P30971</t>
  </si>
  <si>
    <t>29J164202209</t>
  </si>
  <si>
    <t>6025CP2</t>
  </si>
  <si>
    <t>LINEA 302 (SISTEMA SRK)</t>
  </si>
  <si>
    <t>4B1146P47190</t>
  </si>
  <si>
    <t>29J153302551</t>
  </si>
  <si>
    <t>95Z4LH2</t>
  </si>
  <si>
    <t>LINEA 303 (SISTEMA SRK)</t>
  </si>
  <si>
    <t>4B1711P11641</t>
  </si>
  <si>
    <t>29J144200451</t>
  </si>
  <si>
    <t>348TGQ1</t>
  </si>
  <si>
    <t>LINEA 34 (PROYECTO X)</t>
  </si>
  <si>
    <t>4B1636P47080</t>
  </si>
  <si>
    <t>DZR2JS1</t>
  </si>
  <si>
    <t>LINEA 34 (SISTEMAS SRK)</t>
  </si>
  <si>
    <t>4B1510P07218</t>
  </si>
  <si>
    <t>29J161900095</t>
  </si>
  <si>
    <t>4V8C7V1</t>
  </si>
  <si>
    <t>LINEA 34 (PRE ENSAMBLE)</t>
  </si>
  <si>
    <t>4B1636P47098</t>
  </si>
  <si>
    <t>29J120702692</t>
  </si>
  <si>
    <t>GZZJKH2</t>
  </si>
  <si>
    <t>LINEA 40 HENN (SISTEMA SRK)</t>
  </si>
  <si>
    <t>D6J223007032</t>
  </si>
  <si>
    <t>B4KQQD2</t>
  </si>
  <si>
    <t>LINEA 42 (SISTEMA SRK)</t>
  </si>
  <si>
    <t>0B2336L13797</t>
  </si>
  <si>
    <t>29J120702694</t>
  </si>
  <si>
    <t>2CV80Q2</t>
  </si>
  <si>
    <t>LINEA 44 (SISTEMA SRK)</t>
  </si>
  <si>
    <t>0B2336L13930</t>
  </si>
  <si>
    <t>D6J244303459</t>
  </si>
  <si>
    <t>HFRW5V1</t>
  </si>
  <si>
    <t>LINEA TN1 (SISTEMA SRK)</t>
  </si>
  <si>
    <t>4B1314P06049</t>
  </si>
  <si>
    <t>D6N231350833</t>
  </si>
  <si>
    <t>CDW7D92</t>
  </si>
  <si>
    <t>LINEA TN2 (SISTEMA SRK)</t>
  </si>
  <si>
    <t>D6N231350829</t>
  </si>
  <si>
    <t>JJZ1HS1</t>
  </si>
  <si>
    <t>LINEA TN3 (SISTEMA SRK)</t>
  </si>
  <si>
    <t>D6N231250269</t>
  </si>
  <si>
    <t>HFZQ5V1</t>
  </si>
  <si>
    <t>LINEA TN4 (SISTEMA SRK)</t>
  </si>
  <si>
    <t>4B1205P42858</t>
  </si>
  <si>
    <t>D6N231250270</t>
  </si>
  <si>
    <t>6056CP2</t>
  </si>
  <si>
    <t>LINEA TN5 (SISTEMA SRK)</t>
  </si>
  <si>
    <t>4B1638P38531</t>
  </si>
  <si>
    <t>29J190900273</t>
  </si>
  <si>
    <t>2SCQK02</t>
  </si>
  <si>
    <t>LINEA TN6 (SISTEMA SRK)</t>
  </si>
  <si>
    <t>4B1613P66739</t>
  </si>
  <si>
    <t>D6N231350722</t>
  </si>
  <si>
    <t>CDCCWX3</t>
  </si>
  <si>
    <t>MA AREA DE OFICINAS (S/V HORNOS)</t>
  </si>
  <si>
    <t>JDCCWX3</t>
  </si>
  <si>
    <t>MA AREA DE OFICINAS (S/V LINEAS)</t>
  </si>
  <si>
    <t>6ZJYDF3</t>
  </si>
  <si>
    <t>4B2140P03727</t>
  </si>
  <si>
    <t>6ZJVDF3</t>
  </si>
  <si>
    <t>JFZLJS1</t>
  </si>
  <si>
    <t>MT TOOLCRIB (VENTANILLA)</t>
  </si>
  <si>
    <t>4B2125P03125</t>
  </si>
  <si>
    <t>MT TOOLCRIB (SUPERVISOR)</t>
  </si>
  <si>
    <t>6ZJWDF3</t>
  </si>
  <si>
    <t>OF DE ING (MANTENIMIENTO)</t>
  </si>
  <si>
    <t>4B1635P02276</t>
  </si>
  <si>
    <t>OF PC (CAPTURISTA)</t>
  </si>
  <si>
    <t>BKDFCH2</t>
  </si>
  <si>
    <t>OF PC (LIDERES DE RECIBOS)</t>
  </si>
  <si>
    <t>4B1124P32203</t>
  </si>
  <si>
    <t>D6J243915264</t>
  </si>
  <si>
    <t>JQZ0942</t>
  </si>
  <si>
    <t>PANTALLA MOVIL DASHBOARD</t>
  </si>
  <si>
    <t>19X4XH2</t>
  </si>
  <si>
    <t>PASSTHROUGH</t>
  </si>
  <si>
    <t>4B1518P43326</t>
  </si>
  <si>
    <t>29J152401748</t>
  </si>
  <si>
    <t>DDCCWX3</t>
  </si>
  <si>
    <t>PC (EMBARQUES)</t>
  </si>
  <si>
    <t>8QHY0Q2</t>
  </si>
  <si>
    <t>PE (DOCUMENTOS ING)</t>
  </si>
  <si>
    <t>4B2216P25405</t>
  </si>
  <si>
    <t>FLF8BZ2</t>
  </si>
  <si>
    <t>PE (SERGIO CHAPARRO)</t>
  </si>
  <si>
    <t>4XZNX12</t>
  </si>
  <si>
    <t>4B1419P08884</t>
  </si>
  <si>
    <t>29J161101840</t>
  </si>
  <si>
    <t>27D5922</t>
  </si>
  <si>
    <t>PROTECTOR A (SISTEMA SRK)</t>
  </si>
  <si>
    <t>0B2310N07530</t>
  </si>
  <si>
    <t>INCOMING (SISTEMA SRK)</t>
  </si>
  <si>
    <t>29J164202229</t>
  </si>
  <si>
    <t>9082XK2</t>
  </si>
  <si>
    <t>QA (AUDITORIA DE PROCESOS)</t>
  </si>
  <si>
    <t>907ZWK2</t>
  </si>
  <si>
    <t>INCOMING (LIDER DE INCOMING)</t>
  </si>
  <si>
    <t>4B1541P30336</t>
  </si>
  <si>
    <t>6DJP482</t>
  </si>
  <si>
    <t>QA (TSP 2)</t>
  </si>
  <si>
    <t>4B1015P26628</t>
  </si>
  <si>
    <t>901YWK2</t>
  </si>
  <si>
    <t>TR (ENTRENAMIENTO LIDERES)</t>
  </si>
  <si>
    <t>4B1543P32001</t>
  </si>
  <si>
    <t>CD6CQD2</t>
  </si>
  <si>
    <t>TR (ENTRENAMIENTO)</t>
  </si>
  <si>
    <t>ESPECIALISTA DE INGENIERIA (BEV)</t>
  </si>
  <si>
    <t>5B2528TA2486</t>
  </si>
  <si>
    <t>0B2419L48158</t>
  </si>
  <si>
    <t>0B2336L13901</t>
  </si>
  <si>
    <t>RASPBERRY PASILLO</t>
  </si>
  <si>
    <t>HFNQ5V1</t>
  </si>
  <si>
    <t>SITE (STOCK)</t>
  </si>
  <si>
    <t>4B1123P18789</t>
  </si>
  <si>
    <t>AUDITORIA 200% (SITEMA SRK)</t>
  </si>
  <si>
    <t>DQK1LN1</t>
  </si>
  <si>
    <t>29J120702721</t>
  </si>
  <si>
    <t>29J120702720</t>
  </si>
  <si>
    <t>HORNO 10  (SISTEMA SRK)</t>
  </si>
  <si>
    <t>HORNO 10 (MAQUINA A266)</t>
  </si>
  <si>
    <t>CKT8922</t>
  </si>
  <si>
    <t>JQYXQ22</t>
  </si>
  <si>
    <t>INCOMING</t>
  </si>
  <si>
    <t>349RGQ1</t>
  </si>
  <si>
    <t>346TGQ1</t>
  </si>
  <si>
    <t>29J120702687</t>
  </si>
  <si>
    <t>346WGQ1</t>
  </si>
  <si>
    <t>348SGQ1</t>
  </si>
  <si>
    <t>347VGQ1</t>
  </si>
  <si>
    <t>348VGQ1</t>
  </si>
  <si>
    <t>347QGQ1</t>
  </si>
  <si>
    <t>LINEA 19 (SISTEMA SRK)</t>
  </si>
  <si>
    <t>4B1146P47186</t>
  </si>
  <si>
    <t>346RGQ1</t>
  </si>
  <si>
    <t>4B1123P18746</t>
  </si>
  <si>
    <t>29J152401674</t>
  </si>
  <si>
    <t>HFPS5V1</t>
  </si>
  <si>
    <t>349TGQ1</t>
  </si>
  <si>
    <t>2305H120487</t>
  </si>
  <si>
    <t>LINEA 32 (DELTA VISION)</t>
  </si>
  <si>
    <t>2317T120621</t>
  </si>
  <si>
    <t>LINEA 32 (PRUEBA DE FUGA)</t>
  </si>
  <si>
    <t>LINEA 32 (SISTEMA SRK)</t>
  </si>
  <si>
    <t>4B1350P58563</t>
  </si>
  <si>
    <t>LINEA 32 PRE-ENSAMBLE (SISTEMA SRK)</t>
  </si>
  <si>
    <t>29J172802193</t>
  </si>
  <si>
    <t>4B1128P48541</t>
  </si>
  <si>
    <t>LINEA 34 (SISTEMA SRK)</t>
  </si>
  <si>
    <t>LINEA 34 PRE-ENSAMBLE (SISTEMA SRK)</t>
  </si>
  <si>
    <t>346QGQ1</t>
  </si>
  <si>
    <t>LINEA TN 1 (SISTEMA SRK)</t>
  </si>
  <si>
    <t>LINEA TN 2 (SISTEMA SRK)</t>
  </si>
  <si>
    <t>LINEA TN 3 (SISTEMA SRK)</t>
  </si>
  <si>
    <t>LINEA TN 4 (SISTEMA SRK)</t>
  </si>
  <si>
    <t>LINEA TN 5 (SISTEMA SRK)</t>
  </si>
  <si>
    <t>348RGQ1</t>
  </si>
  <si>
    <t>LINEA TN 6 (SISTEMA SRK)</t>
  </si>
  <si>
    <t>6ZJZDF3</t>
  </si>
  <si>
    <t>4B1638P36926</t>
  </si>
  <si>
    <t>MT (TOOLCRIB)</t>
  </si>
  <si>
    <t>MT TOOL CRIB (SUPEERVISOR)</t>
  </si>
  <si>
    <t>8QJX0Q2</t>
  </si>
  <si>
    <t>OF. PC (CAPURISTA)</t>
  </si>
  <si>
    <t>OF. PC (LIDERES DE RECIBOS)</t>
  </si>
  <si>
    <t xml:space="preserve">PANTALLA MOVIL DASHBOARD </t>
  </si>
  <si>
    <t>PASSTHROUGH (SISTEMA SRK)</t>
  </si>
  <si>
    <t>346VGQ1</t>
  </si>
  <si>
    <t>PC (ANGEL EDUARDO RENDON MOLINA)</t>
  </si>
  <si>
    <t>QA (LIDERES DE AUDITORIA 200%)</t>
  </si>
  <si>
    <t>8QHV0Q2</t>
  </si>
  <si>
    <t>QA (TSP)</t>
  </si>
  <si>
    <t xml:space="preserve">RASPBERRY PASILLO </t>
  </si>
  <si>
    <t>SITE (REPARACION)</t>
  </si>
  <si>
    <t>2317T120620</t>
  </si>
  <si>
    <t>2305E120530</t>
  </si>
  <si>
    <t>SITE 1 STOCK</t>
  </si>
  <si>
    <t>TR (ENTRENAMIENTO LIDER)</t>
  </si>
  <si>
    <t>ENTRENAMIENTO EQUIPO 2</t>
  </si>
  <si>
    <t>ENTRENAMIENTO EQUIPO 3</t>
  </si>
  <si>
    <t>ENTRENAMIENTO EQUIPO 4</t>
  </si>
  <si>
    <t>ENTRENAMIENTO EQUIPO 5 (ROSAURA)</t>
  </si>
  <si>
    <t>COMUNICACION (JENIFFER CHEVEZ)</t>
  </si>
  <si>
    <t>VIJILANCIA (DVR 3)</t>
  </si>
  <si>
    <t>VIJILANCIA (DVR 6)</t>
  </si>
  <si>
    <t>VIJILANCIA (DVR 4)</t>
  </si>
  <si>
    <t>VIJILANCIA (PUERTA MADERA ABAJO DVRS)</t>
  </si>
  <si>
    <t>VIJILANCIA (REPISA)</t>
  </si>
  <si>
    <t>B2</t>
  </si>
  <si>
    <t>MARCA</t>
  </si>
  <si>
    <t>MODELO</t>
  </si>
  <si>
    <t>UBICACION</t>
  </si>
  <si>
    <t>ESTADO (FUNCIONAL, NO FUNCIONAL)</t>
  </si>
  <si>
    <t>FOLIO BAJA</t>
  </si>
  <si>
    <t>FOLIO CORRECTIVO</t>
  </si>
  <si>
    <t>DELL</t>
  </si>
  <si>
    <t>OPTIPLEX 170L</t>
  </si>
  <si>
    <t>SITE 2</t>
  </si>
  <si>
    <t>NO FUNCIONAL</t>
  </si>
  <si>
    <t>EB31</t>
  </si>
  <si>
    <t>EQUIPO OBSOLETO, NO CUMPLE CON LOS REQUERIMIENTOS PARA SU ACTUALIZACION</t>
  </si>
  <si>
    <t>VOSTRO 230</t>
  </si>
  <si>
    <t>SITE 1</t>
  </si>
  <si>
    <t>FUNCIONAL</t>
  </si>
  <si>
    <t>EB112</t>
  </si>
  <si>
    <t>NO SE ACTUALIZA A W11, FALTA DE SEGURIDAD EN EL SW</t>
  </si>
  <si>
    <t>EB114</t>
  </si>
  <si>
    <t>EQUIPO DAÑADO YA NO ENCIENDIO, DAÑO MOBO</t>
  </si>
  <si>
    <t>EB111</t>
  </si>
  <si>
    <t>EB84</t>
  </si>
  <si>
    <t>EB85</t>
  </si>
  <si>
    <t>PRECISION T3500</t>
  </si>
  <si>
    <t>EB90</t>
  </si>
  <si>
    <t>EB165</t>
  </si>
  <si>
    <t>EB164</t>
  </si>
  <si>
    <t>EB163</t>
  </si>
  <si>
    <t>EB162</t>
  </si>
  <si>
    <t>EB161</t>
  </si>
  <si>
    <t>EB160</t>
  </si>
  <si>
    <t>EB159</t>
  </si>
  <si>
    <t>EB158</t>
  </si>
  <si>
    <t>FUENTE DAÑADA/NO SE ACTUALIZA A W11</t>
  </si>
  <si>
    <t>EB157</t>
  </si>
  <si>
    <t>EB156</t>
  </si>
  <si>
    <t>EB106</t>
  </si>
  <si>
    <t>EB155</t>
  </si>
  <si>
    <t>EB154</t>
  </si>
  <si>
    <t>EB153</t>
  </si>
  <si>
    <t>EB152</t>
  </si>
  <si>
    <t>HP</t>
  </si>
  <si>
    <t>COMPAQ 6000</t>
  </si>
  <si>
    <t>EB151</t>
  </si>
  <si>
    <t>EB150</t>
  </si>
  <si>
    <t>EB149</t>
  </si>
  <si>
    <t>EB148</t>
  </si>
  <si>
    <t>EB147</t>
  </si>
  <si>
    <t>APC</t>
  </si>
  <si>
    <t>BE550G</t>
  </si>
  <si>
    <t>BASURA ELECTRONICA</t>
  </si>
  <si>
    <t>EB24</t>
  </si>
  <si>
    <t>EQUIPO DAÑADO, FALLA, SE ALARMA Y SE APAGA CONTINUAMENTE</t>
  </si>
  <si>
    <t>TIPO  DE DISPOSITIVO</t>
  </si>
  <si>
    <t>EB166</t>
  </si>
  <si>
    <t>UPS NO ENCIENDE, TARJETA PRINCIPAL DAÑADA</t>
  </si>
  <si>
    <t>C1590</t>
  </si>
  <si>
    <t>ZEBRA</t>
  </si>
  <si>
    <t>GK420T</t>
  </si>
  <si>
    <t>EB167</t>
  </si>
  <si>
    <t>DAÑO EN LA TARJETA PRINCIPAL</t>
  </si>
  <si>
    <t>C0805</t>
  </si>
  <si>
    <t>EB169</t>
  </si>
  <si>
    <t>EB86</t>
  </si>
  <si>
    <t>FECHA BAJA</t>
  </si>
  <si>
    <t>6SMH382</t>
  </si>
  <si>
    <t xml:space="preserve"> </t>
  </si>
  <si>
    <t>ANAQUELES: A,T,C,D</t>
  </si>
  <si>
    <t>SOPORTE SITE 1 STOCK (T2)</t>
  </si>
  <si>
    <t>C1964</t>
  </si>
  <si>
    <t>C1965</t>
  </si>
  <si>
    <t>5B2406TD3175</t>
  </si>
  <si>
    <t>FS3NVL3</t>
  </si>
  <si>
    <t>PE (VICTOR ALEJANDRO ORTIZ VALTIERRA)</t>
  </si>
  <si>
    <t>PLANTA MIXING</t>
  </si>
  <si>
    <t>LAPTOP</t>
  </si>
  <si>
    <t xml:space="preserve">3CHSPF2			</t>
  </si>
  <si>
    <t>5S80562</t>
  </si>
  <si>
    <t>AD (ENFERMERAS)</t>
  </si>
  <si>
    <t xml:space="preserve">FKKH314TR </t>
  </si>
  <si>
    <t>MA (OSCAR URIEL PEREZ HERNANDEZ)</t>
  </si>
  <si>
    <t>88N5Z93</t>
  </si>
  <si>
    <t>MA (ROBERTO RUIZ TERRAZAS)</t>
  </si>
  <si>
    <t>1X2KL32</t>
  </si>
  <si>
    <t>PC (DAVID ELOY SALAS GONZALEZ)</t>
  </si>
  <si>
    <t>G2PSPF2</t>
  </si>
  <si>
    <t>QA (SANDRA OLIVIA HERNANDEZ DIAZ)</t>
  </si>
  <si>
    <t>6Q1LLY3</t>
  </si>
  <si>
    <t>QA (SOCORRO MADAVI ARZATE HERNANDEZ)</t>
  </si>
  <si>
    <t>9HNRWW1</t>
  </si>
  <si>
    <t>TR (INDUCCION)</t>
  </si>
  <si>
    <t>PLANTA SATELITE</t>
  </si>
  <si>
    <t>54S4WF2</t>
  </si>
  <si>
    <t>PC (FRANCISCO JAVIER RODRIGUEZ LEON</t>
  </si>
  <si>
    <t>BODEGA</t>
  </si>
  <si>
    <t>2B59CM2</t>
  </si>
  <si>
    <t>ACM 201 (SISTEMA SRK)</t>
  </si>
  <si>
    <t>PLANTA #3</t>
  </si>
  <si>
    <t>29J151600034</t>
  </si>
  <si>
    <t>HFXS5V1</t>
  </si>
  <si>
    <t>ACM 202 (SISTEMA SRK)</t>
  </si>
  <si>
    <t>29J120702686</t>
  </si>
  <si>
    <t>4B1205P42854</t>
  </si>
  <si>
    <t>914CGK2</t>
  </si>
  <si>
    <t>ACM 203 (SISTEMA SRK)</t>
  </si>
  <si>
    <t>0B2439L05799</t>
  </si>
  <si>
    <t>5B2421TH4357</t>
  </si>
  <si>
    <t>DASHBOARD</t>
  </si>
  <si>
    <t>9DX9HQ2</t>
  </si>
  <si>
    <t>29J172900024</t>
  </si>
  <si>
    <t>4B1128P49780</t>
  </si>
  <si>
    <t>5BN6HH2</t>
  </si>
  <si>
    <t>LINEA 26 (SISTEMA SRK)</t>
  </si>
  <si>
    <t>29J120702696</t>
  </si>
  <si>
    <t>4B1205P42862</t>
  </si>
  <si>
    <t>9DVFHQ2</t>
  </si>
  <si>
    <t>LINEA 36 (SISTEMA SRK)</t>
  </si>
  <si>
    <t>D6J243313447</t>
  </si>
  <si>
    <t>4B1124P31878</t>
  </si>
  <si>
    <t>82091Q2</t>
  </si>
  <si>
    <t>LINEA 39 (SISTEMA SRK)</t>
  </si>
  <si>
    <t>29J141901928</t>
  </si>
  <si>
    <t>4B1146P49269</t>
  </si>
  <si>
    <t>9DTGHQ2</t>
  </si>
  <si>
    <t>D6N232750746</t>
  </si>
  <si>
    <t>0B2336L12088</t>
  </si>
  <si>
    <t>LINEA 45 (SISTEMA SRK)</t>
  </si>
  <si>
    <t>D6J244303434</t>
  </si>
  <si>
    <t>HP1ZQP2</t>
  </si>
  <si>
    <t>LINEA 46 (SISTEMA SRK)</t>
  </si>
  <si>
    <t>D6J243311837</t>
  </si>
  <si>
    <t>0B2429L32659</t>
  </si>
  <si>
    <t>4B1015P35597</t>
  </si>
  <si>
    <t>6DJM482</t>
  </si>
  <si>
    <t>0B2337L23114</t>
  </si>
  <si>
    <t>QA (LIDERES DE CALIDAD)</t>
  </si>
  <si>
    <t>63LTJB2</t>
  </si>
  <si>
    <t>STOCK (GABETA SISTEMAS)</t>
  </si>
  <si>
    <t>0B2425L07042</t>
  </si>
  <si>
    <t>92VK8C2</t>
  </si>
  <si>
    <t>BASCULA</t>
  </si>
  <si>
    <t>PLANTA #4</t>
  </si>
  <si>
    <t>JPKJT64</t>
  </si>
  <si>
    <t>MA (S\V  MEZCLADO)</t>
  </si>
  <si>
    <t>0B2425L07463</t>
  </si>
  <si>
    <t>2VNJT64</t>
  </si>
  <si>
    <t>PC ROOM (MEZCLADO)</t>
  </si>
  <si>
    <t>0B2425L07475</t>
  </si>
  <si>
    <t>6B2421TH6098</t>
  </si>
  <si>
    <t>0B2429L37825</t>
  </si>
  <si>
    <t>29J202400501</t>
  </si>
  <si>
    <t>BODEGA (PC SUPERVISOR)</t>
  </si>
  <si>
    <t>BODEGA PT</t>
  </si>
  <si>
    <t>7F1SGM2</t>
  </si>
  <si>
    <t>BODEGA PT (IFS/DAYTECH)</t>
  </si>
  <si>
    <t>4B1738P34033</t>
  </si>
  <si>
    <t>6DHW482</t>
  </si>
  <si>
    <t>BODEGA PT (PC/LIDER)</t>
  </si>
  <si>
    <t>4B2216P29077</t>
  </si>
  <si>
    <t>RSCKS SWTCHES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</si>
</sst>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theme="7" tint="0.79998168889431442"/>
      </patternFill>
    </fill>
    <fill>
      <patternFill patternType="solid">
        <fgColor rgb="FFFFFF00"/>
        <bgColor theme="7" tint="0.79998168889431442"/>
      </patternFill>
    </fill>
    <fill>
      <patternFill patternType="solid">
        <fgColor theme="7" tint="0.59999389629810485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/>
    <xf numFmtId="0" fontId="2" fillId="4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4" borderId="0" xfId="0" applyFont="1" applyFill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4" borderId="0" xfId="0" applyFill="1"/>
    <xf numFmtId="0" fontId="2" fillId="4" borderId="0" xfId="0" applyFont="1" applyFill="1"/>
    <xf numFmtId="0" fontId="3" fillId="0" borderId="1" xfId="0" applyFont="1" applyBorder="1" applyAlignment="1">
      <alignment vertical="center"/>
    </xf>
    <xf numFmtId="0" fontId="2" fillId="4" borderId="0" xfId="0" applyFont="1" applyFill="1" applyAlignment="1">
      <alignment horizontal="left"/>
    </xf>
    <xf numFmtId="0" fontId="2" fillId="0" borderId="1" xfId="0" applyFont="1" applyBorder="1" applyAlignment="1">
      <alignment vertical="center"/>
    </xf>
    <xf numFmtId="0" fontId="4" fillId="3" borderId="0" xfId="0" applyFont="1" applyFill="1" applyAlignment="1">
      <alignment horizontal="left"/>
    </xf>
    <xf numFmtId="0" fontId="0" fillId="5" borderId="0" xfId="0" applyFill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 vertical="top" wrapText="1"/>
    </xf>
    <xf numFmtId="0" fontId="0" fillId="6" borderId="0" xfId="0" applyFill="1"/>
    <xf numFmtId="0" fontId="0" fillId="0" borderId="0" xfId="0" quotePrefix="1"/>
    <xf numFmtId="0" fontId="2" fillId="0" borderId="0" xfId="0" applyFont="1"/>
    <xf numFmtId="0" fontId="7" fillId="9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 wrapText="1"/>
    </xf>
    <xf numFmtId="0" fontId="0" fillId="10" borderId="0" xfId="0" applyFill="1"/>
    <xf numFmtId="0" fontId="0" fillId="7" borderId="1" xfId="0" applyFill="1" applyBorder="1"/>
    <xf numFmtId="1" fontId="0" fillId="7" borderId="1" xfId="0" applyNumberFormat="1" applyFill="1" applyBorder="1" applyAlignment="1">
      <alignment horizontal="left"/>
    </xf>
    <xf numFmtId="0" fontId="0" fillId="3" borderId="1" xfId="0" applyFill="1" applyBorder="1"/>
    <xf numFmtId="1" fontId="0" fillId="3" borderId="1" xfId="0" applyNumberFormat="1" applyFill="1" applyBorder="1" applyAlignment="1">
      <alignment horizontal="left"/>
    </xf>
    <xf numFmtId="1" fontId="0" fillId="3" borderId="1" xfId="0" applyNumberFormat="1" applyFill="1" applyBorder="1" applyAlignment="1">
      <alignment horizontal="left" wrapText="1"/>
    </xf>
    <xf numFmtId="0" fontId="0" fillId="8" borderId="1" xfId="0" applyFill="1" applyBorder="1"/>
    <xf numFmtId="1" fontId="3" fillId="3" borderId="1" xfId="0" applyNumberFormat="1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0" fillId="2" borderId="1" xfId="0" applyFill="1" applyBorder="1"/>
    <xf numFmtId="1" fontId="0" fillId="2" borderId="1" xfId="0" applyNumberFormat="1" applyFill="1" applyBorder="1" applyAlignment="1">
      <alignment horizontal="left"/>
    </xf>
    <xf numFmtId="1" fontId="0" fillId="8" borderId="1" xfId="0" applyNumberFormat="1" applyFill="1" applyBorder="1" applyAlignment="1">
      <alignment horizontal="left"/>
    </xf>
    <xf numFmtId="1" fontId="0" fillId="8" borderId="1" xfId="0" applyNumberFormat="1" applyFill="1" applyBorder="1"/>
    <xf numFmtId="0" fontId="1" fillId="0" borderId="1" xfId="0" applyFont="1" applyBorder="1"/>
    <xf numFmtId="0" fontId="0" fillId="11" borderId="1" xfId="0" applyFill="1" applyBorder="1"/>
    <xf numFmtId="1" fontId="0" fillId="11" borderId="1" xfId="0" applyNumberFormat="1" applyFill="1" applyBorder="1" applyAlignment="1">
      <alignment horizontal="left"/>
    </xf>
    <xf numFmtId="0" fontId="7" fillId="11" borderId="0" xfId="0" applyFont="1" applyFill="1" applyAlignment="1">
      <alignment horizontal="center"/>
    </xf>
    <xf numFmtId="0" fontId="0" fillId="3" borderId="3" xfId="0" applyFill="1" applyBorder="1"/>
    <xf numFmtId="1" fontId="0" fillId="3" borderId="3" xfId="0" applyNumberFormat="1" applyFill="1" applyBorder="1" applyAlignment="1">
      <alignment horizontal="left"/>
    </xf>
    <xf numFmtId="0" fontId="0" fillId="12" borderId="1" xfId="0" applyFill="1" applyBorder="1"/>
    <xf numFmtId="1" fontId="0" fillId="12" borderId="1" xfId="0" applyNumberFormat="1" applyFill="1" applyBorder="1" applyAlignment="1">
      <alignment horizontal="left"/>
    </xf>
    <xf numFmtId="0" fontId="7" fillId="12" borderId="0" xfId="0" applyFont="1" applyFill="1" applyAlignment="1">
      <alignment horizontal="center"/>
    </xf>
    <xf numFmtId="1" fontId="0" fillId="0" borderId="1" xfId="0" applyNumberFormat="1" applyBorder="1"/>
    <xf numFmtId="1" fontId="0" fillId="0" borderId="1" xfId="0" applyNumberFormat="1" applyBorder="1" applyAlignment="1">
      <alignment horizontal="left"/>
    </xf>
    <xf numFmtId="1" fontId="0" fillId="3" borderId="2" xfId="0" applyNumberFormat="1" applyFill="1" applyBorder="1" applyAlignment="1">
      <alignment horizontal="left"/>
    </xf>
    <xf numFmtId="0" fontId="0" fillId="3" borderId="2" xfId="0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3" fillId="11" borderId="1" xfId="0" applyNumberFormat="1" applyFont="1" applyFill="1" applyBorder="1" applyAlignment="1">
      <alignment horizontal="left"/>
    </xf>
    <xf numFmtId="0" fontId="1" fillId="2" borderId="1" xfId="0" applyFont="1" applyFill="1" applyBorder="1"/>
    <xf numFmtId="1" fontId="0" fillId="2" borderId="1" xfId="0" applyNumberFormat="1" applyFill="1" applyBorder="1"/>
    <xf numFmtId="0" fontId="0" fillId="2" borderId="0" xfId="0" applyFill="1"/>
    <xf numFmtId="1" fontId="0" fillId="2" borderId="1" xfId="0" quotePrefix="1" applyNumberFormat="1" applyFill="1" applyBorder="1" applyAlignment="1">
      <alignment horizontal="left"/>
    </xf>
    <xf numFmtId="0" fontId="0" fillId="11" borderId="0" xfId="0" applyFill="1"/>
    <xf numFmtId="1" fontId="0" fillId="11" borderId="1" xfId="0" applyNumberFormat="1" applyFill="1" applyBorder="1"/>
    <xf numFmtId="0" fontId="0" fillId="13" borderId="1" xfId="0" applyFill="1" applyBorder="1"/>
    <xf numFmtId="0" fontId="0" fillId="14" borderId="1" xfId="0" applyFill="1" applyBorder="1"/>
    <xf numFmtId="1" fontId="0" fillId="13" borderId="1" xfId="0" applyNumberFormat="1" applyFill="1" applyBorder="1"/>
    <xf numFmtId="1" fontId="0" fillId="3" borderId="1" xfId="0" applyNumberFormat="1" applyFill="1" applyBorder="1"/>
    <xf numFmtId="1" fontId="0" fillId="14" borderId="1" xfId="0" applyNumberFormat="1" applyFill="1" applyBorder="1"/>
    <xf numFmtId="1" fontId="0" fillId="8" borderId="3" xfId="0" applyNumberFormat="1" applyFill="1" applyBorder="1"/>
    <xf numFmtId="0" fontId="0" fillId="8" borderId="3" xfId="0" applyFill="1" applyBorder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8" fillId="0" borderId="0" xfId="0" applyFont="1"/>
    <xf numFmtId="0" fontId="9" fillId="0" borderId="0" xfId="0" applyFont="1" applyAlignment="1">
      <alignment horizontal="left" vertical="top" wrapText="1"/>
    </xf>
    <xf numFmtId="11" fontId="8" fillId="0" borderId="0" xfId="0" applyNumberFormat="1" applyFont="1"/>
    <xf numFmtId="1" fontId="0" fillId="15" borderId="1" xfId="0" applyNumberFormat="1" applyFill="1" applyBorder="1"/>
    <xf numFmtId="0" fontId="0" fillId="15" borderId="1" xfId="0" applyFill="1" applyBorder="1"/>
    <xf numFmtId="0" fontId="0" fillId="3" borderId="0" xfId="0" applyFill="1"/>
    <xf numFmtId="0" fontId="1" fillId="12" borderId="1" xfId="0" applyFont="1" applyFill="1" applyBorder="1"/>
    <xf numFmtId="0" fontId="1" fillId="11" borderId="1" xfId="0" applyFont="1" applyFill="1" applyBorder="1"/>
    <xf numFmtId="0" fontId="1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14" fontId="0" fillId="0" borderId="1" xfId="0" applyNumberFormat="1" applyBorder="1"/>
    <xf numFmtId="0" fontId="1" fillId="8" borderId="3" xfId="0" applyFont="1" applyFill="1" applyBorder="1"/>
    <xf numFmtId="0" fontId="0" fillId="0" borderId="0" xfId="0" applyAlignment="1">
      <alignment vertical="center" wrapText="1"/>
    </xf>
    <xf numFmtId="1" fontId="0" fillId="0" borderId="4" xfId="0" applyNumberFormat="1" applyBorder="1" applyAlignment="1">
      <alignment vertical="center" wrapText="1"/>
    </xf>
    <xf numFmtId="1" fontId="0" fillId="0" borderId="4" xfId="0" applyNumberFormat="1" applyBorder="1"/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/>
    <xf numFmtId="1" fontId="0" fillId="3" borderId="0" xfId="0" applyNumberFormat="1" applyFill="1" applyAlignment="1">
      <alignment horizontal="left"/>
    </xf>
    <xf numFmtId="0" fontId="0" fillId="8" borderId="0" xfId="0" applyFill="1"/>
  </cellXfs>
  <cellStyles count="1">
    <cellStyle name="Normal" xfId="0" builtinId="0"/>
  </cellStyles>
  <dxfs count="19"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-0.24994659260841701"/>
        </patternFill>
      </fill>
    </dxf>
    <dxf>
      <font>
        <b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FF99CC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2025\Soporte\Calendarios%20mantenimientos%202025\Computadoras%20de%20Escritorio%202025.xlsx" TargetMode="External"/><Relationship Id="rId1" Type="http://schemas.openxmlformats.org/officeDocument/2006/relationships/externalLinkPath" Target="file:///U:\2025\Soporte\Calendarios%20mantenimientos%202025\Computadoras%20de%20Escritori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up"/>
      <sheetName val="Validacion CPUs"/>
      <sheetName val="Validacion TP"/>
      <sheetName val="Validacion UPS"/>
      <sheetName val="juntos"/>
      <sheetName val="Ordenar"/>
      <sheetName val="Ordenar P2"/>
      <sheetName val="Listado Maestro CIU B1"/>
      <sheetName val="Listado Maestro CIU B1 P2"/>
      <sheetName val="Listado Maestro CIU B2"/>
      <sheetName val="Listado Maestro CIU B2 P2"/>
      <sheetName val="Listado Maestro CIU B3"/>
      <sheetName val="Listado Maestro CIU B3 P2"/>
      <sheetName val="Listado Maestro CIU B4"/>
      <sheetName val="Listado Maestro CIU B4 P2"/>
      <sheetName val="Listado Maestro CIU BPT"/>
      <sheetName val="Listado Maestro CIU BPT P2"/>
      <sheetName val="C101"/>
      <sheetName val="C102"/>
      <sheetName val="C103"/>
      <sheetName val="C104"/>
      <sheetName val="C105"/>
      <sheetName val="C106"/>
      <sheetName val="C107"/>
      <sheetName val="C108"/>
      <sheetName val="C109"/>
      <sheetName val="C110"/>
      <sheetName val="C111"/>
      <sheetName val="C112"/>
      <sheetName val="C113"/>
      <sheetName val="C114"/>
      <sheetName val="C115"/>
      <sheetName val="C116"/>
      <sheetName val="C117"/>
      <sheetName val="C118"/>
      <sheetName val="C119"/>
      <sheetName val="C120"/>
      <sheetName val="C201"/>
      <sheetName val="C202"/>
      <sheetName val="C203"/>
      <sheetName val="C204"/>
      <sheetName val="C205"/>
      <sheetName val="C206"/>
      <sheetName val="C207"/>
      <sheetName val="C208"/>
      <sheetName val="C209"/>
      <sheetName val="C210"/>
      <sheetName val="C211"/>
      <sheetName val="C212"/>
      <sheetName val="C213"/>
      <sheetName val="C214"/>
      <sheetName val="C215"/>
      <sheetName val="C216"/>
      <sheetName val="C217"/>
      <sheetName val="C218"/>
      <sheetName val="C219"/>
      <sheetName val="C220"/>
      <sheetName val="N101"/>
      <sheetName val="N102"/>
      <sheetName val="N103"/>
      <sheetName val="N104"/>
      <sheetName val="N105"/>
      <sheetName val="N106"/>
      <sheetName val="N107"/>
      <sheetName val="N108"/>
      <sheetName val="N201"/>
      <sheetName val="N202"/>
      <sheetName val="N203"/>
      <sheetName val="N204"/>
      <sheetName val="N205"/>
      <sheetName val="N206"/>
      <sheetName val="N207"/>
      <sheetName val="N208"/>
      <sheetName val="3B101"/>
      <sheetName val="3B102"/>
      <sheetName val="3B201"/>
      <sheetName val="3B202"/>
      <sheetName val="4B101"/>
      <sheetName val="4B201"/>
      <sheetName val="PT101"/>
      <sheetName val="PT201"/>
    </sheetNames>
    <sheetDataSet>
      <sheetData sheetId="0" refreshError="1"/>
      <sheetData sheetId="1" refreshError="1">
        <row r="1">
          <cell r="C1" t="str">
            <v>Serial</v>
          </cell>
          <cell r="D1" t="str">
            <v>Calendario</v>
          </cell>
          <cell r="E1" t="str">
            <v>planta</v>
          </cell>
          <cell r="G1" t="str">
            <v>ZONA</v>
          </cell>
        </row>
        <row r="2">
          <cell r="C2" t="str">
            <v>940400104647</v>
          </cell>
          <cell r="D2" t="str">
            <v>LOCALIZAR</v>
          </cell>
          <cell r="E2" t="str">
            <v>EDIFICIO #1</v>
          </cell>
          <cell r="F2" t="str">
            <v>940400104647</v>
          </cell>
          <cell r="G2" t="str">
            <v>AZUL</v>
          </cell>
          <cell r="H2" t="str">
            <v>COMPUTADORA DE ESCRITORIO</v>
          </cell>
        </row>
        <row r="3">
          <cell r="C3" t="str">
            <v>MXJ6290B0W</v>
          </cell>
          <cell r="D3" t="str">
            <v>LOCALIZAR</v>
          </cell>
          <cell r="E3" t="str">
            <v>EDIFICIO #1</v>
          </cell>
          <cell r="F3" t="str">
            <v>MXJ6290B0W</v>
          </cell>
          <cell r="G3" t="str">
            <v>AZUL</v>
          </cell>
          <cell r="H3" t="str">
            <v>COMPUTADORA DE ESCRITORIO</v>
          </cell>
        </row>
        <row r="4">
          <cell r="C4" t="str">
            <v>MXJ0020210</v>
          </cell>
          <cell r="D4" t="str">
            <v>LOCALIZAR</v>
          </cell>
          <cell r="E4" t="str">
            <v>EDIFICIO #1</v>
          </cell>
          <cell r="F4" t="str">
            <v>MXJ0020210</v>
          </cell>
          <cell r="G4" t="str">
            <v>VERDE</v>
          </cell>
          <cell r="H4" t="str">
            <v>COMPUTADORA DE ESCRITORIO</v>
          </cell>
        </row>
        <row r="5">
          <cell r="C5" t="str">
            <v>HFVT5V1</v>
          </cell>
          <cell r="D5" t="str">
            <v>LOCALIZAR</v>
          </cell>
          <cell r="E5" t="str">
            <v>EDIFICIO #1</v>
          </cell>
          <cell r="F5" t="str">
            <v>HFVT5V1</v>
          </cell>
          <cell r="G5" t="str">
            <v>GRIS</v>
          </cell>
          <cell r="H5" t="str">
            <v>COMPUTADORA DE ESCRITORIO</v>
          </cell>
        </row>
        <row r="6">
          <cell r="C6" t="str">
            <v>4V8C7V1</v>
          </cell>
          <cell r="D6" t="str">
            <v>LINEA 34 PRE-ENSAMBLE (SISTEMA SRK)</v>
          </cell>
          <cell r="E6" t="str">
            <v>BUILDING #2</v>
          </cell>
          <cell r="F6" t="str">
            <v>4V8C7V1</v>
          </cell>
          <cell r="G6" t="str">
            <v>VERDE</v>
          </cell>
          <cell r="H6" t="str">
            <v>COMPUTADORA DE ESCRITORIO</v>
          </cell>
        </row>
        <row r="7">
          <cell r="C7" t="str">
            <v>4V8D7V1</v>
          </cell>
          <cell r="D7" t="str">
            <v>HORNO 17 (SISTEMA SRK)</v>
          </cell>
          <cell r="E7" t="str">
            <v>BUILDING #2</v>
          </cell>
          <cell r="F7" t="str">
            <v>4V8D7V1</v>
          </cell>
          <cell r="G7" t="str">
            <v>VERDE</v>
          </cell>
          <cell r="H7" t="str">
            <v>COMPUTADORA DE ESCRITORIO</v>
          </cell>
        </row>
        <row r="8">
          <cell r="C8" t="str">
            <v>4VB77V1</v>
          </cell>
          <cell r="D8" t="str">
            <v>LOCALIZAR</v>
          </cell>
          <cell r="E8" t="str">
            <v>EDIFICIO #1</v>
          </cell>
          <cell r="F8" t="str">
            <v>4VB77V1</v>
          </cell>
          <cell r="G8" t="str">
            <v>VERDE</v>
          </cell>
          <cell r="H8" t="str">
            <v>COMPUTADORA DE ESCRITORIO</v>
          </cell>
        </row>
        <row r="9">
          <cell r="C9" t="str">
            <v>H3W7LM1</v>
          </cell>
          <cell r="D9" t="str">
            <v>LOCALIZAR</v>
          </cell>
          <cell r="E9" t="str">
            <v>EDIFICIO #1</v>
          </cell>
          <cell r="F9" t="str">
            <v>H3W7LM1</v>
          </cell>
          <cell r="G9" t="str">
            <v>AZUL</v>
          </cell>
          <cell r="H9" t="str">
            <v>COMPUTADORA DE ESCRITORIO</v>
          </cell>
        </row>
        <row r="10">
          <cell r="C10" t="str">
            <v>4VC57V1</v>
          </cell>
          <cell r="D10" t="str">
            <v>LOCALIZAR</v>
          </cell>
          <cell r="E10" t="str">
            <v>EDIFICIO #1</v>
          </cell>
          <cell r="F10" t="str">
            <v>4VC57V1</v>
          </cell>
          <cell r="G10" t="str">
            <v>AZUL</v>
          </cell>
          <cell r="H10" t="str">
            <v>COMPUTADORA DE ESCRITORIO</v>
          </cell>
        </row>
        <row r="11">
          <cell r="C11" t="str">
            <v>4V947V1</v>
          </cell>
          <cell r="D11" t="str">
            <v>HORNO 13 (SISTEMA SRK)</v>
          </cell>
          <cell r="E11" t="str">
            <v>BUILDING #2</v>
          </cell>
          <cell r="F11" t="str">
            <v>4V947V1</v>
          </cell>
          <cell r="G11" t="str">
            <v>VERDE</v>
          </cell>
          <cell r="H11" t="str">
            <v>COMPUTADORA DE ESCRITORIO</v>
          </cell>
        </row>
        <row r="12">
          <cell r="C12" t="str">
            <v>4VC97V1</v>
          </cell>
          <cell r="D12" t="str">
            <v>LINEA 41 (SISTEMA SRK)</v>
          </cell>
          <cell r="E12" t="str">
            <v>EDIFICIO #3</v>
          </cell>
          <cell r="F12" t="str">
            <v>4VC97V1</v>
          </cell>
          <cell r="G12" t="str">
            <v>VERDE</v>
          </cell>
          <cell r="H12" t="str">
            <v>COMPUTADORA DE ESCRITORIO</v>
          </cell>
        </row>
        <row r="13">
          <cell r="C13" t="str">
            <v>4VC77V1</v>
          </cell>
          <cell r="D13" t="str">
            <v>LOCALIZAR</v>
          </cell>
          <cell r="E13" t="str">
            <v>EDIFICIO #1</v>
          </cell>
          <cell r="F13" t="str">
            <v>4VC77V1</v>
          </cell>
          <cell r="G13" t="str">
            <v>VERDE</v>
          </cell>
          <cell r="H13" t="str">
            <v>COMPUTADORA DE ESCRITORIO</v>
          </cell>
        </row>
        <row r="14">
          <cell r="C14" t="str">
            <v>4VBD7V1</v>
          </cell>
          <cell r="D14" t="str">
            <v>LOCALIZAR</v>
          </cell>
          <cell r="E14" t="str">
            <v>EDIFICIO #1</v>
          </cell>
          <cell r="F14" t="str">
            <v>4VBD7V1</v>
          </cell>
          <cell r="G14" t="str">
            <v>AZUL</v>
          </cell>
          <cell r="H14" t="str">
            <v>COMPUTADORA DE ESCRITORIO</v>
          </cell>
        </row>
        <row r="15">
          <cell r="C15" t="str">
            <v>D77FHN1</v>
          </cell>
          <cell r="D15" t="str">
            <v>LOCALIZAR</v>
          </cell>
          <cell r="E15" t="str">
            <v>EDIFICIO #1</v>
          </cell>
          <cell r="F15" t="str">
            <v>D77FHN1</v>
          </cell>
          <cell r="G15" t="str">
            <v>AZUL</v>
          </cell>
          <cell r="H15" t="str">
            <v>COMPUTADORA DE ESCRITORIO</v>
          </cell>
        </row>
        <row r="16">
          <cell r="C16" t="str">
            <v>DZR2JS1</v>
          </cell>
          <cell r="D16" t="str">
            <v>LINEA 34 (SISTEMA SRK)</v>
          </cell>
          <cell r="E16" t="str">
            <v>BUILDING #2</v>
          </cell>
          <cell r="F16" t="str">
            <v>DZR2JS1</v>
          </cell>
          <cell r="G16" t="str">
            <v>VERDE</v>
          </cell>
          <cell r="H16" t="str">
            <v>COMPUTADORA DE ESCRITORIO</v>
          </cell>
        </row>
        <row r="17">
          <cell r="C17" t="str">
            <v>4VC87V1</v>
          </cell>
          <cell r="D17" t="str">
            <v>LOCALIZAR</v>
          </cell>
          <cell r="E17" t="str">
            <v>EDIFICIO #1</v>
          </cell>
          <cell r="F17" t="str">
            <v>4VC87V1</v>
          </cell>
          <cell r="G17" t="str">
            <v>VERDE</v>
          </cell>
          <cell r="H17" t="str">
            <v>COMPUTADORA DE ESCRITORIO</v>
          </cell>
        </row>
        <row r="18">
          <cell r="C18" t="str">
            <v>BMLWJM1</v>
          </cell>
          <cell r="D18" t="str">
            <v>LOCALIZAR</v>
          </cell>
          <cell r="E18" t="str">
            <v>EDIFICIO #1</v>
          </cell>
          <cell r="F18" t="str">
            <v>BMLWJM1</v>
          </cell>
          <cell r="G18" t="str">
            <v>AZUL</v>
          </cell>
          <cell r="H18" t="str">
            <v>COMPUTADORA DE ESCRITORIO</v>
          </cell>
        </row>
        <row r="19">
          <cell r="C19" t="str">
            <v>JFZLJS1</v>
          </cell>
          <cell r="D19" t="str">
            <v>MT (TOOLCRIB)</v>
          </cell>
          <cell r="E19" t="str">
            <v>BUILDING #2</v>
          </cell>
          <cell r="F19" t="str">
            <v>JFZLJS1</v>
          </cell>
          <cell r="G19" t="str">
            <v>AZUL</v>
          </cell>
          <cell r="H19" t="str">
            <v>COMPUTADORA DE ESCRITORIO</v>
          </cell>
        </row>
        <row r="20">
          <cell r="C20" t="str">
            <v>4VB57V1</v>
          </cell>
          <cell r="D20" t="str">
            <v>LOCALIZAR</v>
          </cell>
          <cell r="E20" t="str">
            <v>EDIFICIO #1</v>
          </cell>
          <cell r="F20" t="str">
            <v>4VB57V1</v>
          </cell>
          <cell r="G20" t="str">
            <v>VERDE</v>
          </cell>
          <cell r="H20" t="str">
            <v>COMPUTADORA DE ESCRITORIO</v>
          </cell>
        </row>
        <row r="21">
          <cell r="C21" t="str">
            <v>4VBC7V1</v>
          </cell>
          <cell r="D21" t="str">
            <v>HORNO 10 (SISTEMA SRK)</v>
          </cell>
          <cell r="E21" t="str">
            <v>EDIFICIO #2</v>
          </cell>
          <cell r="F21" t="str">
            <v>4VBC7V1</v>
          </cell>
          <cell r="G21" t="str">
            <v>VERDE</v>
          </cell>
          <cell r="H21" t="str">
            <v>COMPUTADORA DE ESCRITORIO</v>
          </cell>
        </row>
        <row r="22">
          <cell r="C22" t="str">
            <v>JQYY842</v>
          </cell>
          <cell r="D22" t="str">
            <v>LOCALIZAR</v>
          </cell>
          <cell r="E22" t="str">
            <v>EDIFICIO #1</v>
          </cell>
          <cell r="F22" t="str">
            <v>JQYY842</v>
          </cell>
          <cell r="G22" t="str">
            <v>AZUL</v>
          </cell>
          <cell r="H22" t="str">
            <v>COMPUTADORA DE ESCRITORIO</v>
          </cell>
        </row>
        <row r="23">
          <cell r="C23" t="str">
            <v>JQYZQ22</v>
          </cell>
          <cell r="D23" t="str">
            <v>LOCALIZAR</v>
          </cell>
          <cell r="E23" t="str">
            <v>EDIFICIO #1</v>
          </cell>
          <cell r="F23" t="str">
            <v>JQYZQ22</v>
          </cell>
          <cell r="G23" t="str">
            <v>AZUL</v>
          </cell>
          <cell r="H23" t="str">
            <v>COMPUTADORA DE ESCRITORIO</v>
          </cell>
        </row>
        <row r="24">
          <cell r="C24" t="str">
            <v>2SDMK02</v>
          </cell>
          <cell r="D24" t="str">
            <v>LOCALIZAR</v>
          </cell>
          <cell r="E24" t="str">
            <v>EDIFICIO #1</v>
          </cell>
          <cell r="F24" t="str">
            <v>2SDMK02</v>
          </cell>
          <cell r="G24" t="str">
            <v>VERDE</v>
          </cell>
          <cell r="H24" t="str">
            <v>COMPUTADORA DE ESCRITORIO</v>
          </cell>
        </row>
        <row r="25">
          <cell r="C25" t="str">
            <v>2SCMK02</v>
          </cell>
          <cell r="D25" t="str">
            <v>LOCALIZAR</v>
          </cell>
          <cell r="E25" t="str">
            <v>EDIFICIO #1</v>
          </cell>
          <cell r="F25" t="str">
            <v>2SCMK02</v>
          </cell>
          <cell r="G25" t="str">
            <v>AZUL</v>
          </cell>
          <cell r="H25" t="str">
            <v>COMPUTADORA DE ESCRITORIO</v>
          </cell>
        </row>
        <row r="26">
          <cell r="C26" t="str">
            <v>JQZ0942</v>
          </cell>
          <cell r="D26" t="str">
            <v xml:space="preserve">PANTALLA MOVIL DASHBOARD </v>
          </cell>
          <cell r="E26" t="str">
            <v>EDIFICIO #2</v>
          </cell>
          <cell r="F26" t="str">
            <v>JQZ0942</v>
          </cell>
          <cell r="G26" t="str">
            <v>GRIS</v>
          </cell>
          <cell r="H26" t="str">
            <v>COMPUTADORA DE ESCRITORIO</v>
          </cell>
        </row>
        <row r="27">
          <cell r="C27" t="str">
            <v>JQYZ842</v>
          </cell>
          <cell r="D27" t="str">
            <v>LOCALIZAR</v>
          </cell>
          <cell r="E27" t="str">
            <v>EDIFICIO #1</v>
          </cell>
          <cell r="F27" t="str">
            <v>JQYZ842</v>
          </cell>
          <cell r="G27" t="str">
            <v>VERDE</v>
          </cell>
          <cell r="H27" t="str">
            <v>COMPUTADORA DE ESCRITORIO</v>
          </cell>
        </row>
        <row r="28">
          <cell r="C28" t="str">
            <v>2SCQK02</v>
          </cell>
          <cell r="D28" t="str">
            <v>LINEA TN 6 (SISTEMA SRK)</v>
          </cell>
          <cell r="E28" t="str">
            <v>BUILDING #2</v>
          </cell>
          <cell r="F28" t="str">
            <v>2SCQK02</v>
          </cell>
          <cell r="G28" t="str">
            <v>VERDE</v>
          </cell>
          <cell r="H28" t="str">
            <v>COMPUTADORA DE ESCRITORIO</v>
          </cell>
        </row>
        <row r="29">
          <cell r="C29" t="str">
            <v>JQYYQ22</v>
          </cell>
          <cell r="D29" t="str">
            <v>LOCALIZAR</v>
          </cell>
          <cell r="E29" t="str">
            <v>EDIFICIO #1</v>
          </cell>
          <cell r="F29" t="str">
            <v>JQYYQ22</v>
          </cell>
          <cell r="G29" t="str">
            <v>AZUL</v>
          </cell>
          <cell r="H29" t="str">
            <v>COMPUTADORA DE ESCRITORIO</v>
          </cell>
        </row>
        <row r="30">
          <cell r="C30" t="str">
            <v>4VB67V1</v>
          </cell>
          <cell r="D30" t="str">
            <v>LOCALIZAR</v>
          </cell>
          <cell r="E30" t="str">
            <v>EDIFICIO #1</v>
          </cell>
          <cell r="F30" t="str">
            <v>4VB67V1</v>
          </cell>
          <cell r="G30" t="str">
            <v>VERDE</v>
          </cell>
          <cell r="H30" t="str">
            <v>COMPUTADORA DE ESCRITORIO</v>
          </cell>
        </row>
        <row r="31">
          <cell r="C31" t="str">
            <v>HZBJNM1</v>
          </cell>
          <cell r="D31" t="str">
            <v>CONECTORES 105 (SISTEMA SRK)</v>
          </cell>
          <cell r="E31" t="str">
            <v>EDIFICIO #1</v>
          </cell>
          <cell r="F31" t="str">
            <v>HZBJNM1</v>
          </cell>
          <cell r="G31" t="str">
            <v>VERDE</v>
          </cell>
          <cell r="H31" t="str">
            <v>COMPUTADORA DE ESCRITORIO</v>
          </cell>
        </row>
        <row r="32">
          <cell r="C32" t="str">
            <v>347RGQ1</v>
          </cell>
          <cell r="D32" t="str">
            <v>HORNO 12 (SISTEMA SRK)</v>
          </cell>
          <cell r="E32" t="str">
            <v>EDIFICIO #2</v>
          </cell>
          <cell r="F32" t="str">
            <v>347RGQ1</v>
          </cell>
          <cell r="G32" t="str">
            <v>VERDE</v>
          </cell>
          <cell r="H32" t="str">
            <v>COMPUTADORA DE ESCRITORIO</v>
          </cell>
        </row>
        <row r="33">
          <cell r="C33" t="str">
            <v>JJYSHS1</v>
          </cell>
          <cell r="D33" t="str">
            <v>LOCALIZAR</v>
          </cell>
          <cell r="E33" t="str">
            <v>EDIFICIO #1</v>
          </cell>
          <cell r="F33" t="str">
            <v>JJYSHS1</v>
          </cell>
          <cell r="G33" t="str">
            <v>VERDE</v>
          </cell>
          <cell r="H33" t="str">
            <v>COMPUTADORA DE ESCRITORIO</v>
          </cell>
        </row>
        <row r="34">
          <cell r="C34" t="str">
            <v>H9RK9P1</v>
          </cell>
          <cell r="D34" t="str">
            <v>CORTE 2 (SISTEMA SRK)</v>
          </cell>
          <cell r="E34" t="str">
            <v>EDIFICIO #1</v>
          </cell>
          <cell r="F34" t="str">
            <v>H9RK9P1</v>
          </cell>
          <cell r="G34" t="str">
            <v>VERDE</v>
          </cell>
          <cell r="H34" t="str">
            <v>COMPUTADORA DE ESCRITORIO</v>
          </cell>
        </row>
        <row r="35">
          <cell r="C35" t="str">
            <v>346QGQ1</v>
          </cell>
          <cell r="D35" t="str">
            <v>LINEA 40 HENN (SISTEMA SRK)</v>
          </cell>
          <cell r="E35" t="str">
            <v>EDIFICIO #2</v>
          </cell>
          <cell r="F35" t="str">
            <v>346QGQ1</v>
          </cell>
          <cell r="G35" t="str">
            <v>VERDE</v>
          </cell>
          <cell r="H35" t="str">
            <v>COMPUTADORA DE ESCRITORIO</v>
          </cell>
        </row>
        <row r="36">
          <cell r="C36" t="str">
            <v>349SGQ1</v>
          </cell>
          <cell r="D36" t="str">
            <v>LOCALIZAR</v>
          </cell>
          <cell r="E36" t="str">
            <v>EDIFICIO #1</v>
          </cell>
          <cell r="F36" t="str">
            <v>349SGQ1</v>
          </cell>
          <cell r="G36" t="str">
            <v>VERDE</v>
          </cell>
          <cell r="H36" t="str">
            <v>COMPUTADORA DE ESCRITORIO</v>
          </cell>
        </row>
        <row r="37">
          <cell r="C37" t="str">
            <v>JJZ4HS1</v>
          </cell>
          <cell r="D37" t="str">
            <v>LOCALIZAR</v>
          </cell>
          <cell r="E37" t="str">
            <v>EDIFICIO #1</v>
          </cell>
          <cell r="F37" t="str">
            <v>JJZ4HS1</v>
          </cell>
          <cell r="G37" t="str">
            <v>VERDE</v>
          </cell>
          <cell r="H37" t="str">
            <v>COMPUTADORA DE ESCRITORIO</v>
          </cell>
        </row>
        <row r="38">
          <cell r="C38" t="str">
            <v>346VGQ1</v>
          </cell>
          <cell r="D38" t="str">
            <v>PASSTHROUGH (SISTEMA SRK)</v>
          </cell>
          <cell r="E38" t="str">
            <v>EDIFICIO #2</v>
          </cell>
          <cell r="F38" t="str">
            <v>346VGQ1</v>
          </cell>
          <cell r="G38" t="str">
            <v>VERDE</v>
          </cell>
          <cell r="H38" t="str">
            <v>COMPUTADORA DE ESCRITORIO</v>
          </cell>
        </row>
        <row r="39">
          <cell r="C39" t="str">
            <v>345XGQ1</v>
          </cell>
          <cell r="D39" t="str">
            <v>LOCALIZAR</v>
          </cell>
          <cell r="E39" t="str">
            <v>EDIFICIO #1</v>
          </cell>
          <cell r="F39" t="str">
            <v>345XGQ1</v>
          </cell>
          <cell r="G39" t="str">
            <v>VERDE</v>
          </cell>
          <cell r="H39" t="str">
            <v>COMPUTADORA DE ESCRITORIO</v>
          </cell>
        </row>
        <row r="40">
          <cell r="C40" t="str">
            <v>4XZNX12</v>
          </cell>
          <cell r="D40" t="str">
            <v>PROTECTOR 5 (SISTEMA SRK)</v>
          </cell>
          <cell r="E40" t="str">
            <v>EDIFICIO #2</v>
          </cell>
          <cell r="F40" t="str">
            <v>4XZNX12</v>
          </cell>
          <cell r="G40" t="str">
            <v>VERDE</v>
          </cell>
          <cell r="H40" t="str">
            <v>COMPUTADORA DE ESCRITORIO</v>
          </cell>
        </row>
        <row r="41">
          <cell r="C41" t="str">
            <v>348WGQ1</v>
          </cell>
          <cell r="D41" t="str">
            <v>LOCALIZAR</v>
          </cell>
          <cell r="E41" t="str">
            <v>EDIFICIO #1</v>
          </cell>
          <cell r="F41" t="str">
            <v>348WGQ1</v>
          </cell>
          <cell r="G41" t="str">
            <v>VERDE</v>
          </cell>
          <cell r="H41" t="str">
            <v>COMPUTADORA DE ESCRITORIO</v>
          </cell>
        </row>
        <row r="42">
          <cell r="C42" t="str">
            <v>CZDJDP1</v>
          </cell>
          <cell r="D42" t="str">
            <v>LOCALIZAR</v>
          </cell>
          <cell r="E42" t="str">
            <v>EDIFICIO #1</v>
          </cell>
          <cell r="F42" t="str">
            <v>CZDJDP1</v>
          </cell>
          <cell r="G42" t="str">
            <v>VERDE</v>
          </cell>
          <cell r="H42" t="str">
            <v>COMPUTADORA DE ESCRITORIO</v>
          </cell>
        </row>
        <row r="43">
          <cell r="C43" t="str">
            <v>348RGQ1</v>
          </cell>
          <cell r="D43" t="str">
            <v>LINEA TN 5 (SISTEMA SRK)</v>
          </cell>
          <cell r="E43" t="str">
            <v>EDIFICIO #2</v>
          </cell>
          <cell r="F43" t="str">
            <v>348RGQ1</v>
          </cell>
          <cell r="G43" t="str">
            <v>VERDE</v>
          </cell>
          <cell r="H43" t="str">
            <v>COMPUTADORA DE ESCRITORIO</v>
          </cell>
        </row>
        <row r="44">
          <cell r="C44" t="str">
            <v>349QGQ1</v>
          </cell>
          <cell r="D44" t="str">
            <v>LOCALIZAR</v>
          </cell>
          <cell r="E44" t="str">
            <v>EDIFICIO #1</v>
          </cell>
          <cell r="F44" t="str">
            <v>349QGQ1</v>
          </cell>
          <cell r="G44" t="str">
            <v>VERDE</v>
          </cell>
          <cell r="H44" t="str">
            <v>COMPUTADORA DE ESCRITORIO</v>
          </cell>
        </row>
        <row r="45">
          <cell r="C45" t="str">
            <v>347SGQ1</v>
          </cell>
          <cell r="D45" t="str">
            <v>LINEA 26 (SISTEMA SRK)</v>
          </cell>
          <cell r="E45" t="str">
            <v>BUILDING #3</v>
          </cell>
          <cell r="F45" t="str">
            <v>347SGQ1</v>
          </cell>
          <cell r="G45" t="str">
            <v>VERDE</v>
          </cell>
          <cell r="H45" t="str">
            <v>COMPUTADORA DE ESCRITORIO</v>
          </cell>
        </row>
        <row r="46">
          <cell r="C46" t="str">
            <v>347QGQ1</v>
          </cell>
          <cell r="D46" t="str">
            <v>LINEA 19 (SISTEMA SRK)</v>
          </cell>
          <cell r="E46" t="str">
            <v>EDIFICIO #2</v>
          </cell>
          <cell r="F46" t="str">
            <v>347QGQ1</v>
          </cell>
          <cell r="G46" t="str">
            <v>VERDE</v>
          </cell>
          <cell r="H46" t="str">
            <v>COMPUTADORA DE ESCRITORIO</v>
          </cell>
        </row>
        <row r="47">
          <cell r="C47" t="str">
            <v>349RGQ1</v>
          </cell>
          <cell r="D47" t="str">
            <v>LINEA 08 (SISTEMA SRK)</v>
          </cell>
          <cell r="E47" t="str">
            <v>EDIFICIO #2</v>
          </cell>
          <cell r="F47" t="str">
            <v>349RGQ1</v>
          </cell>
          <cell r="G47" t="str">
            <v>VERDE</v>
          </cell>
          <cell r="H47" t="str">
            <v>COMPUTADORA DE ESCRITORIO</v>
          </cell>
        </row>
        <row r="48">
          <cell r="C48" t="str">
            <v>348QGQ1</v>
          </cell>
          <cell r="D48" t="str">
            <v>LOCALIZAR</v>
          </cell>
          <cell r="E48" t="str">
            <v>EDIFICIO #1</v>
          </cell>
          <cell r="F48" t="str">
            <v>348QGQ1</v>
          </cell>
          <cell r="G48" t="str">
            <v>VERDE</v>
          </cell>
          <cell r="H48" t="str">
            <v>COMPUTADORA DE ESCRITORIO</v>
          </cell>
        </row>
        <row r="49">
          <cell r="C49" t="str">
            <v>2SDQK02</v>
          </cell>
          <cell r="D49" t="str">
            <v>LOCALIZAR</v>
          </cell>
          <cell r="E49" t="str">
            <v>EDIFICIO #1</v>
          </cell>
          <cell r="F49" t="str">
            <v>2SDQK02</v>
          </cell>
          <cell r="G49" t="str">
            <v>VERDE</v>
          </cell>
          <cell r="H49" t="str">
            <v>COMPUTADORA DE ESCRITORIO</v>
          </cell>
        </row>
        <row r="50">
          <cell r="C50" t="str">
            <v>346SGQ1</v>
          </cell>
          <cell r="D50" t="str">
            <v>LOCALIZAR</v>
          </cell>
          <cell r="E50" t="str">
            <v>EDIFICIO #1</v>
          </cell>
          <cell r="F50" t="str">
            <v>346SGQ1</v>
          </cell>
          <cell r="G50" t="str">
            <v>VERDE</v>
          </cell>
          <cell r="H50" t="str">
            <v>COMPUTADORA DE ESCRITORIO</v>
          </cell>
        </row>
        <row r="51">
          <cell r="C51" t="str">
            <v>347TGQ1</v>
          </cell>
          <cell r="D51" t="str">
            <v>LOCALIZAR</v>
          </cell>
          <cell r="E51" t="str">
            <v>EDIFICIO #1</v>
          </cell>
          <cell r="F51" t="str">
            <v>347TGQ1</v>
          </cell>
          <cell r="G51" t="str">
            <v>AZUL</v>
          </cell>
          <cell r="H51" t="str">
            <v>COMPUTADORA DE ESCRITORIO</v>
          </cell>
        </row>
        <row r="52">
          <cell r="C52" t="str">
            <v>259697175307</v>
          </cell>
          <cell r="D52" t="str">
            <v>LOCALIZAR</v>
          </cell>
          <cell r="E52" t="str">
            <v>EDIFICIO #1</v>
          </cell>
          <cell r="F52" t="str">
            <v>259697175307</v>
          </cell>
          <cell r="G52" t="str">
            <v>AZUL</v>
          </cell>
          <cell r="H52" t="str">
            <v>COMPUTADORA DE ESCRITORIO</v>
          </cell>
        </row>
        <row r="53">
          <cell r="C53" t="str">
            <v>HZB1PM1</v>
          </cell>
          <cell r="D53" t="str">
            <v>LOCALIZAR</v>
          </cell>
          <cell r="E53" t="str">
            <v>EDIFICIO #1</v>
          </cell>
          <cell r="F53" t="str">
            <v>HZB1PM1</v>
          </cell>
          <cell r="G53" t="str">
            <v>VERDE</v>
          </cell>
          <cell r="H53" t="str">
            <v>COMPUTADORA DE ESCRITORIO</v>
          </cell>
        </row>
        <row r="54">
          <cell r="C54" t="str">
            <v>H9RJ9P1</v>
          </cell>
          <cell r="D54" t="str">
            <v>LINEA 36 (SISTEMA SRK)</v>
          </cell>
          <cell r="E54" t="str">
            <v>BUILDING #3</v>
          </cell>
          <cell r="F54" t="str">
            <v>H9RJ9P1</v>
          </cell>
          <cell r="G54" t="str">
            <v>VERDE</v>
          </cell>
          <cell r="H54" t="str">
            <v>COMPUTADORA DE ESCRITORIO</v>
          </cell>
        </row>
        <row r="55">
          <cell r="C55" t="str">
            <v>JJZ1HS1</v>
          </cell>
          <cell r="D55" t="str">
            <v>LINEA TN 3 (SISTEMA SRK)</v>
          </cell>
          <cell r="E55" t="str">
            <v>BUILDING #2</v>
          </cell>
          <cell r="F55" t="str">
            <v>JJZ1HS1</v>
          </cell>
          <cell r="G55" t="str">
            <v>VERDE</v>
          </cell>
          <cell r="H55" t="str">
            <v>COMPUTADORA DE ESCRITORIO</v>
          </cell>
        </row>
        <row r="56">
          <cell r="C56" t="str">
            <v>JQYXQ22</v>
          </cell>
          <cell r="D56" t="str">
            <v>INCOMING</v>
          </cell>
          <cell r="E56" t="str">
            <v>BUILDING #2</v>
          </cell>
          <cell r="F56" t="str">
            <v>JQYXQ22</v>
          </cell>
          <cell r="H56" t="str">
            <v>COMPUTADORA DE ESCRITORIO</v>
          </cell>
        </row>
        <row r="57">
          <cell r="C57" t="str">
            <v>JJYRHS1</v>
          </cell>
          <cell r="D57" t="str">
            <v>LOCALIZAR</v>
          </cell>
          <cell r="E57" t="str">
            <v>EDIFICIO #1</v>
          </cell>
          <cell r="F57" t="str">
            <v>JJYRHS1</v>
          </cell>
          <cell r="G57" t="str">
            <v>VERDE</v>
          </cell>
          <cell r="H57" t="str">
            <v>COMPUTADORA DE ESCRITORIO</v>
          </cell>
        </row>
        <row r="58">
          <cell r="C58" t="str">
            <v>6ZK9BM2</v>
          </cell>
          <cell r="D58" t="str">
            <v>LOCALIZAR</v>
          </cell>
          <cell r="E58" t="str">
            <v>EDIFICIO #1</v>
          </cell>
          <cell r="F58" t="str">
            <v>6ZK9BM2</v>
          </cell>
          <cell r="G58" t="str">
            <v>AZUL</v>
          </cell>
          <cell r="H58" t="str">
            <v>COMPUTADORA DE ESCRITORIO</v>
          </cell>
        </row>
        <row r="59">
          <cell r="C59" t="str">
            <v>55D99N2</v>
          </cell>
          <cell r="D59" t="str">
            <v>LOCALIZAR</v>
          </cell>
          <cell r="E59" t="str">
            <v>EDIFICIO #1</v>
          </cell>
          <cell r="F59" t="str">
            <v>55D99N2</v>
          </cell>
          <cell r="G59" t="str">
            <v>AZUL</v>
          </cell>
          <cell r="H59" t="str">
            <v>COMPUTADORA DE ESCRITORIO</v>
          </cell>
        </row>
        <row r="60">
          <cell r="C60" t="str">
            <v>8SSC80R27445J1DG84301MX</v>
          </cell>
          <cell r="D60" t="str">
            <v>LOCALIZAR</v>
          </cell>
          <cell r="E60" t="str">
            <v>EDIFICIO #1</v>
          </cell>
          <cell r="F60" t="str">
            <v>8SSC80R27445J1DG84301MX</v>
          </cell>
          <cell r="G60" t="str">
            <v>AZUL</v>
          </cell>
          <cell r="H60" t="str">
            <v>COMPUTADORA DE ESCRITORIO</v>
          </cell>
        </row>
        <row r="61">
          <cell r="C61" t="str">
            <v>G73R0T2</v>
          </cell>
          <cell r="D61" t="str">
            <v>LOCALIZAR</v>
          </cell>
          <cell r="E61" t="str">
            <v>EDIFICIO #1</v>
          </cell>
          <cell r="F61" t="str">
            <v>G73R0T2</v>
          </cell>
          <cell r="G61" t="str">
            <v>AZUL</v>
          </cell>
          <cell r="H61" t="str">
            <v>COMPUTADORA DE ESCRITORIO</v>
          </cell>
        </row>
        <row r="62">
          <cell r="C62" t="str">
            <v>5JCXNY2</v>
          </cell>
          <cell r="D62" t="str">
            <v>LOCALIZAR</v>
          </cell>
          <cell r="E62" t="str">
            <v>EDIFICIO #1</v>
          </cell>
          <cell r="F62" t="str">
            <v>5JCXNY2</v>
          </cell>
          <cell r="G62" t="str">
            <v>AZUL</v>
          </cell>
          <cell r="H62" t="str">
            <v>COMPUTADORA DE ESCRITORIO</v>
          </cell>
        </row>
        <row r="63">
          <cell r="C63" t="str">
            <v>CN02D81</v>
          </cell>
          <cell r="D63" t="str">
            <v>LOCALIZAR</v>
          </cell>
          <cell r="E63" t="str">
            <v>EDIFICIO #1</v>
          </cell>
          <cell r="F63" t="str">
            <v>CN02D81</v>
          </cell>
          <cell r="H63" t="str">
            <v>COMPUTADORA DE ESCRITORIO</v>
          </cell>
        </row>
        <row r="64">
          <cell r="C64" t="str">
            <v>3KJ2391</v>
          </cell>
          <cell r="D64" t="str">
            <v>LOCALIZAR</v>
          </cell>
          <cell r="E64" t="str">
            <v>EDIFICIO #1</v>
          </cell>
          <cell r="F64" t="str">
            <v>3KJ2391</v>
          </cell>
          <cell r="H64" t="str">
            <v>COMPUTADORA DE ESCRITORIO</v>
          </cell>
        </row>
        <row r="65">
          <cell r="C65" t="str">
            <v>5DW7SL1</v>
          </cell>
          <cell r="D65" t="str">
            <v>LOCALIZAR</v>
          </cell>
          <cell r="E65" t="str">
            <v>EDIFICIO #1</v>
          </cell>
          <cell r="F65" t="str">
            <v>5DW7SL1</v>
          </cell>
          <cell r="G65" t="str">
            <v>VERDE</v>
          </cell>
          <cell r="H65" t="str">
            <v>COMPUTADORA DE ESCRITORIO</v>
          </cell>
        </row>
        <row r="66">
          <cell r="C66" t="str">
            <v>5DY4SL1</v>
          </cell>
          <cell r="D66" t="str">
            <v>LINEA 39 (SISTEMA SRK)</v>
          </cell>
          <cell r="E66" t="str">
            <v>BUILDING #3</v>
          </cell>
          <cell r="F66" t="str">
            <v>5DY4SL1</v>
          </cell>
          <cell r="G66" t="str">
            <v>VERDE</v>
          </cell>
          <cell r="H66" t="str">
            <v>COMPUTADORA DE ESCRITORIO</v>
          </cell>
        </row>
        <row r="67">
          <cell r="C67" t="str">
            <v>5DX7SL1</v>
          </cell>
          <cell r="D67" t="str">
            <v>LOCALIZAR</v>
          </cell>
          <cell r="E67" t="str">
            <v>EDIFICIO #1</v>
          </cell>
          <cell r="F67" t="str">
            <v>5DX7SL1</v>
          </cell>
          <cell r="G67" t="str">
            <v>VERDE</v>
          </cell>
          <cell r="H67" t="str">
            <v>COMPUTADORA DE ESCRITORIO</v>
          </cell>
        </row>
        <row r="68">
          <cell r="C68" t="str">
            <v>5DY2SL1</v>
          </cell>
          <cell r="D68" t="str">
            <v>LOCALIZAR</v>
          </cell>
          <cell r="E68" t="str">
            <v>EDIFICIO #1</v>
          </cell>
          <cell r="F68" t="str">
            <v>5DY2SL1</v>
          </cell>
          <cell r="G68" t="str">
            <v>GRIS</v>
          </cell>
          <cell r="H68" t="str">
            <v>COMPUTADORA DE ESCRITORIO</v>
          </cell>
        </row>
        <row r="69">
          <cell r="C69" t="str">
            <v>5DX4SL1</v>
          </cell>
          <cell r="D69" t="str">
            <v>LOCALIZAR</v>
          </cell>
          <cell r="E69" t="str">
            <v>EDIFICIO #1</v>
          </cell>
          <cell r="F69" t="str">
            <v>5DX4SL1</v>
          </cell>
          <cell r="G69" t="str">
            <v>GRIS</v>
          </cell>
          <cell r="H69" t="str">
            <v>COMPUTADORA DE ESCRITORIO</v>
          </cell>
        </row>
        <row r="70">
          <cell r="C70" t="str">
            <v>5DX2SL1</v>
          </cell>
          <cell r="D70" t="str">
            <v>LOCALIZAR</v>
          </cell>
          <cell r="E70" t="str">
            <v>EDIFICIO #1</v>
          </cell>
          <cell r="F70" t="str">
            <v>5DX2SL1</v>
          </cell>
          <cell r="G70" t="str">
            <v>VERDE</v>
          </cell>
          <cell r="H70" t="str">
            <v>COMPUTADORA DE ESCRITORIO</v>
          </cell>
        </row>
        <row r="71">
          <cell r="C71" t="str">
            <v>5DX3SL1</v>
          </cell>
          <cell r="D71" t="str">
            <v>LOCALIZAR</v>
          </cell>
          <cell r="E71" t="str">
            <v>EDIFICIO #1</v>
          </cell>
          <cell r="F71" t="str">
            <v>5DX3SL1</v>
          </cell>
          <cell r="G71" t="str">
            <v>VERDE</v>
          </cell>
          <cell r="H71" t="str">
            <v>COMPUTADORA DE ESCRITORIO</v>
          </cell>
        </row>
        <row r="72">
          <cell r="C72" t="str">
            <v>5DY3SL1</v>
          </cell>
          <cell r="D72" t="str">
            <v>LOCALIZAR</v>
          </cell>
          <cell r="E72" t="str">
            <v>EDIFICIO #1</v>
          </cell>
          <cell r="F72" t="str">
            <v>5DY3SL1</v>
          </cell>
          <cell r="G72" t="str">
            <v>GRIS</v>
          </cell>
          <cell r="H72" t="str">
            <v>COMPUTADORA DE ESCRITORIO</v>
          </cell>
        </row>
        <row r="73">
          <cell r="C73" t="str">
            <v>DQJ2LN1</v>
          </cell>
          <cell r="D73" t="str">
            <v>LOCALIZAR</v>
          </cell>
          <cell r="E73" t="str">
            <v>EDIFICIO #1</v>
          </cell>
          <cell r="F73" t="str">
            <v>DQJ2LN1</v>
          </cell>
          <cell r="G73" t="str">
            <v>VERDE</v>
          </cell>
          <cell r="H73" t="str">
            <v>COMPUTADORA DE ESCRITORIO</v>
          </cell>
        </row>
        <row r="74">
          <cell r="C74" t="str">
            <v>DQK2LN1</v>
          </cell>
          <cell r="D74" t="str">
            <v>LOCALIZAR</v>
          </cell>
          <cell r="E74" t="str">
            <v>EDIFICIO #1</v>
          </cell>
          <cell r="F74" t="str">
            <v>DQK2LN1</v>
          </cell>
          <cell r="G74" t="str">
            <v>VERDE</v>
          </cell>
          <cell r="H74" t="str">
            <v>COMPUTADORA DE ESCRITORIO</v>
          </cell>
        </row>
        <row r="75">
          <cell r="C75" t="str">
            <v>DQK1LN1</v>
          </cell>
          <cell r="D75" t="str">
            <v>AUDITORIA 200% (SITEMA SRK)</v>
          </cell>
          <cell r="E75" t="str">
            <v>EDIFICIO #2</v>
          </cell>
          <cell r="F75" t="str">
            <v>DQK1LN1</v>
          </cell>
          <cell r="G75" t="str">
            <v>VERDE</v>
          </cell>
          <cell r="H75" t="str">
            <v>COMPUTADORA DE ESCRITORIO</v>
          </cell>
        </row>
        <row r="76">
          <cell r="C76" t="str">
            <v>DQJ3LN1</v>
          </cell>
          <cell r="D76" t="str">
            <v>LOCALIZAR</v>
          </cell>
          <cell r="E76" t="str">
            <v>EDIFICIO #1</v>
          </cell>
          <cell r="F76" t="str">
            <v>DQJ3LN1</v>
          </cell>
          <cell r="G76" t="str">
            <v>VERDE</v>
          </cell>
          <cell r="H76" t="str">
            <v>COMPUTADORA DE ESCRITORIO</v>
          </cell>
        </row>
        <row r="77">
          <cell r="C77" t="str">
            <v>347WGQ1</v>
          </cell>
          <cell r="D77" t="str">
            <v>CONECTORES 102 (SISTEMA SRK)</v>
          </cell>
          <cell r="E77" t="str">
            <v>EDIFICIO #1</v>
          </cell>
          <cell r="F77" t="str">
            <v>347WGQ1</v>
          </cell>
          <cell r="G77" t="str">
            <v>VERDE</v>
          </cell>
          <cell r="H77" t="str">
            <v>COMPUTADORA DE ESCRITORIO</v>
          </cell>
        </row>
        <row r="78">
          <cell r="C78" t="str">
            <v>348SGQ1</v>
          </cell>
          <cell r="D78" t="str">
            <v>LINEA 11 (SISTEMA SRK)</v>
          </cell>
          <cell r="E78" t="str">
            <v>BUILDING #2</v>
          </cell>
          <cell r="F78" t="str">
            <v>348SGQ1</v>
          </cell>
          <cell r="G78" t="str">
            <v>VERDE</v>
          </cell>
          <cell r="H78" t="str">
            <v>COMPUTADORA DE ESCRITORIO</v>
          </cell>
        </row>
        <row r="79">
          <cell r="C79" t="str">
            <v>349TGQ1</v>
          </cell>
          <cell r="D79" t="str">
            <v>LINEA 303 (SISTEMA SRK)</v>
          </cell>
          <cell r="E79" t="str">
            <v>BUILDING #2</v>
          </cell>
          <cell r="F79" t="str">
            <v>349TGQ1</v>
          </cell>
          <cell r="G79" t="str">
            <v>VERDE</v>
          </cell>
          <cell r="H79" t="str">
            <v>COMPUTADORA DE ESCRITORIO</v>
          </cell>
        </row>
        <row r="80">
          <cell r="C80" t="str">
            <v>346XGQ1</v>
          </cell>
          <cell r="D80" t="str">
            <v>LOCALIZAR</v>
          </cell>
          <cell r="E80" t="str">
            <v>EDIFICIO #1</v>
          </cell>
          <cell r="F80" t="str">
            <v>346XGQ1</v>
          </cell>
          <cell r="G80" t="str">
            <v>VERDE</v>
          </cell>
          <cell r="H80" t="str">
            <v>COMPUTADORA DE ESCRITORIO</v>
          </cell>
        </row>
        <row r="81">
          <cell r="C81" t="str">
            <v>347VGQ1</v>
          </cell>
          <cell r="D81" t="str">
            <v>LINEA 13 (SISTEMA SRK)</v>
          </cell>
          <cell r="E81" t="str">
            <v>EDIFICIO #2</v>
          </cell>
          <cell r="F81" t="str">
            <v>347VGQ1</v>
          </cell>
          <cell r="G81" t="str">
            <v>VERDE</v>
          </cell>
          <cell r="H81" t="str">
            <v>COMPUTADORA DE ESCRITORIO</v>
          </cell>
        </row>
        <row r="82">
          <cell r="C82" t="str">
            <v>346RGQ1</v>
          </cell>
          <cell r="D82" t="str">
            <v>LINEA 24 (SISTEMA SRK)</v>
          </cell>
          <cell r="E82" t="str">
            <v>EDIFICIO #2</v>
          </cell>
          <cell r="F82" t="str">
            <v>346RGQ1</v>
          </cell>
          <cell r="G82" t="str">
            <v>VERDE</v>
          </cell>
          <cell r="H82" t="str">
            <v>COMPUTADORA DE ESCRITORIO</v>
          </cell>
        </row>
        <row r="83">
          <cell r="C83" t="str">
            <v>346TGQ1</v>
          </cell>
          <cell r="D83" t="str">
            <v>LINEA 09 (SISTEMA SRK)</v>
          </cell>
          <cell r="E83" t="str">
            <v>BUILDING #2</v>
          </cell>
          <cell r="F83" t="str">
            <v>346TGQ1</v>
          </cell>
          <cell r="G83" t="str">
            <v>VERDE</v>
          </cell>
          <cell r="H83" t="str">
            <v>COMPUTADORA DE ESCRITORIO</v>
          </cell>
        </row>
        <row r="84">
          <cell r="C84" t="str">
            <v>348VGQ1</v>
          </cell>
          <cell r="D84" t="str">
            <v>LINEA 15 (SISTEMA SRK)</v>
          </cell>
          <cell r="E84" t="str">
            <v>EDIFICIO #2</v>
          </cell>
          <cell r="F84" t="str">
            <v>348VGQ1</v>
          </cell>
          <cell r="G84" t="str">
            <v>VERDE</v>
          </cell>
          <cell r="H84" t="str">
            <v>COMPUTADORA DE ESCRITORIO</v>
          </cell>
        </row>
        <row r="85">
          <cell r="C85" t="str">
            <v>348TGQ1</v>
          </cell>
          <cell r="D85" t="str">
            <v>LINEA 34 (PROYECTO X)</v>
          </cell>
          <cell r="E85" t="str">
            <v>EDIFICIO #2</v>
          </cell>
          <cell r="F85" t="str">
            <v>348TGQ1</v>
          </cell>
          <cell r="G85" t="str">
            <v>GRIS</v>
          </cell>
          <cell r="H85" t="str">
            <v>COMPUTADORA DE ESCRITORIO</v>
          </cell>
        </row>
        <row r="86">
          <cell r="C86" t="str">
            <v>346WGQ1</v>
          </cell>
          <cell r="D86" t="str">
            <v>LINEA 10 (SISTEMA SRK)</v>
          </cell>
          <cell r="E86" t="str">
            <v>BUILDING #2</v>
          </cell>
          <cell r="F86" t="str">
            <v>346WGQ1</v>
          </cell>
          <cell r="G86" t="str">
            <v>VERDE</v>
          </cell>
          <cell r="H86" t="str">
            <v>COMPUTADORA DE ESCRITORIO</v>
          </cell>
        </row>
        <row r="87">
          <cell r="C87" t="str">
            <v>6VN1XQ1</v>
          </cell>
          <cell r="D87" t="str">
            <v>LOCALIZAR</v>
          </cell>
          <cell r="E87" t="str">
            <v>EDIFICIO #1</v>
          </cell>
          <cell r="F87" t="str">
            <v>6VN1XQ1</v>
          </cell>
          <cell r="G87" t="str">
            <v>VERDE</v>
          </cell>
          <cell r="H87" t="str">
            <v>COMPUTADORA DE ESCRITORIO</v>
          </cell>
        </row>
        <row r="88">
          <cell r="C88" t="str">
            <v>4HK2XR1</v>
          </cell>
          <cell r="D88" t="str">
            <v>LOCALIZAR</v>
          </cell>
          <cell r="E88" t="str">
            <v>EDIFICIO #1</v>
          </cell>
          <cell r="F88" t="str">
            <v>4HK2XR1</v>
          </cell>
          <cell r="G88" t="str">
            <v>VERDE</v>
          </cell>
          <cell r="H88" t="str">
            <v>COMPUTADORA DE ESCRITORIO</v>
          </cell>
        </row>
        <row r="89">
          <cell r="C89" t="str">
            <v>JFZWHS1</v>
          </cell>
          <cell r="D89" t="str">
            <v>AUTOCLAVE 5 (SISTEMA SRK)</v>
          </cell>
          <cell r="E89" t="str">
            <v>EDIFICIO #1</v>
          </cell>
          <cell r="F89" t="str">
            <v>JFZWHS1</v>
          </cell>
          <cell r="G89" t="str">
            <v>VERDE</v>
          </cell>
          <cell r="H89" t="str">
            <v>COMPUTADORA DE ESCRITORIO</v>
          </cell>
        </row>
        <row r="90">
          <cell r="C90" t="str">
            <v>252CTR1</v>
          </cell>
          <cell r="D90" t="str">
            <v>LOCALIZAR</v>
          </cell>
          <cell r="E90" t="str">
            <v>EDIFICIO #1</v>
          </cell>
          <cell r="F90" t="str">
            <v>252CTR1</v>
          </cell>
          <cell r="G90" t="str">
            <v>AZUL</v>
          </cell>
          <cell r="H90" t="str">
            <v>COMPUTADORA DE ESCRITORIO</v>
          </cell>
        </row>
        <row r="91">
          <cell r="C91" t="str">
            <v>HFWZ5V1</v>
          </cell>
          <cell r="D91" t="str">
            <v>CONECTORES 104 (SISTEMA SRK)</v>
          </cell>
          <cell r="E91" t="str">
            <v>EDIFICIO #1</v>
          </cell>
          <cell r="F91" t="str">
            <v>HFWZ5V1</v>
          </cell>
          <cell r="G91" t="str">
            <v>VERDE</v>
          </cell>
          <cell r="H91" t="str">
            <v>COMPUTADORA DE ESCRITORIO</v>
          </cell>
        </row>
        <row r="92">
          <cell r="C92" t="str">
            <v>HFSV5V1</v>
          </cell>
          <cell r="D92" t="str">
            <v>LOCALIZAR</v>
          </cell>
          <cell r="E92" t="str">
            <v>EDIFICIO #1</v>
          </cell>
          <cell r="F92" t="str">
            <v>HFSV5V1</v>
          </cell>
          <cell r="G92" t="str">
            <v>VERDE</v>
          </cell>
          <cell r="H92" t="str">
            <v>COMPUTADORA DE ESCRITORIO</v>
          </cell>
        </row>
        <row r="93">
          <cell r="C93" t="str">
            <v>HFZQ5V1</v>
          </cell>
          <cell r="D93" t="str">
            <v>LINEA TN 4 (SISTEMA SRK)</v>
          </cell>
          <cell r="E93" t="str">
            <v>EDIFICIO #2</v>
          </cell>
          <cell r="F93" t="str">
            <v>HFZQ5V1</v>
          </cell>
          <cell r="G93" t="str">
            <v>VERDE</v>
          </cell>
          <cell r="H93" t="str">
            <v>COMPUTADORA DE ESCRITORIO</v>
          </cell>
        </row>
        <row r="94">
          <cell r="C94" t="str">
            <v>HFXR5V1</v>
          </cell>
          <cell r="D94" t="str">
            <v>CAMARAS 1 (SISTEMA SRK)</v>
          </cell>
          <cell r="E94" t="str">
            <v>EDIFICIO #1</v>
          </cell>
          <cell r="F94" t="str">
            <v>HFXR5V1</v>
          </cell>
          <cell r="G94" t="str">
            <v>VERDE</v>
          </cell>
          <cell r="H94" t="str">
            <v>COMPUTADORA DE ESCRITORIO</v>
          </cell>
        </row>
        <row r="95">
          <cell r="C95" t="str">
            <v>HFZT5V1</v>
          </cell>
          <cell r="D95" t="str">
            <v>CONECTORES 101 (SISTEMA SRK)</v>
          </cell>
          <cell r="E95" t="str">
            <v>EDIFICIO #1</v>
          </cell>
          <cell r="F95" t="str">
            <v>HFZT5V1</v>
          </cell>
          <cell r="G95" t="str">
            <v>VERDE</v>
          </cell>
          <cell r="H95" t="str">
            <v>COMPUTADORA DE ESCRITORIO</v>
          </cell>
        </row>
        <row r="96">
          <cell r="C96" t="str">
            <v>CKT8922</v>
          </cell>
          <cell r="D96" t="str">
            <v>HORNO 15 (SISTEMA SRK)</v>
          </cell>
          <cell r="E96" t="str">
            <v>EDIFICIO #2</v>
          </cell>
          <cell r="F96" t="str">
            <v>CKT8922</v>
          </cell>
          <cell r="G96" t="str">
            <v>VERDE</v>
          </cell>
          <cell r="H96" t="str">
            <v>COMPUTADORA DE ESCRITORIO</v>
          </cell>
        </row>
        <row r="97">
          <cell r="C97" t="str">
            <v>HFTZ5V1</v>
          </cell>
          <cell r="D97" t="str">
            <v>CONECTORES 103 (SISTEMA SRK)</v>
          </cell>
          <cell r="E97" t="str">
            <v>EDIFICIO #1</v>
          </cell>
          <cell r="F97" t="str">
            <v>HFTZ5V1</v>
          </cell>
          <cell r="G97" t="str">
            <v>VERDE</v>
          </cell>
          <cell r="H97" t="str">
            <v>COMPUTADORA DE ESCRITORIO</v>
          </cell>
        </row>
        <row r="98">
          <cell r="C98" t="str">
            <v>HFRW5V1</v>
          </cell>
          <cell r="D98" t="str">
            <v>LINEA TN 1 (SISTEMA SRK)</v>
          </cell>
          <cell r="E98" t="str">
            <v>BUILDING #2</v>
          </cell>
          <cell r="F98" t="str">
            <v>HFRW5V1</v>
          </cell>
          <cell r="G98" t="str">
            <v>VERDE</v>
          </cell>
          <cell r="H98" t="str">
            <v>COMPUTADORA DE ESCRITORIO</v>
          </cell>
        </row>
        <row r="99">
          <cell r="C99" t="str">
            <v>HFQT5V1</v>
          </cell>
          <cell r="D99" t="str">
            <v>DIPPING CAMPANA Y PLASMA (SISTEMA SRK)</v>
          </cell>
          <cell r="E99" t="str">
            <v>EDIFICIO #1</v>
          </cell>
          <cell r="F99" t="str">
            <v>HFQT5V1</v>
          </cell>
          <cell r="G99" t="str">
            <v>VERDE</v>
          </cell>
          <cell r="H99" t="str">
            <v>COMPUTADORA DE ESCRITORIO</v>
          </cell>
        </row>
        <row r="100">
          <cell r="C100" t="str">
            <v>HFWW5V1</v>
          </cell>
          <cell r="D100" t="str">
            <v>HORNO 03 (SISTEMA SRK)</v>
          </cell>
          <cell r="E100" t="str">
            <v>EDIFICIO #2</v>
          </cell>
          <cell r="F100" t="str">
            <v>HFWW5V1</v>
          </cell>
          <cell r="G100" t="str">
            <v>VERDE</v>
          </cell>
          <cell r="H100" t="str">
            <v>COMPUTADORA DE ESCRITORIO</v>
          </cell>
        </row>
        <row r="101">
          <cell r="C101" t="str">
            <v>HFQY5V1</v>
          </cell>
          <cell r="D101" t="str">
            <v>LOCALIZAR</v>
          </cell>
          <cell r="E101" t="str">
            <v>EDIFICIO #1</v>
          </cell>
          <cell r="F101" t="str">
            <v>HFQY5V1</v>
          </cell>
          <cell r="G101" t="str">
            <v>VERDE</v>
          </cell>
          <cell r="H101" t="str">
            <v>COMPUTADORA DE ESCRITORIO</v>
          </cell>
        </row>
        <row r="102">
          <cell r="C102" t="str">
            <v>HFNV5V1</v>
          </cell>
          <cell r="D102" t="str">
            <v>LOCALIZAR</v>
          </cell>
          <cell r="E102" t="str">
            <v>EDIFICIO #1</v>
          </cell>
          <cell r="F102" t="str">
            <v>HFNV5V1</v>
          </cell>
          <cell r="G102" t="str">
            <v>VERDE</v>
          </cell>
          <cell r="H102" t="str">
            <v>COMPUTADORA DE ESCRITORIO</v>
          </cell>
        </row>
        <row r="103">
          <cell r="C103" t="str">
            <v>HFXX5V1</v>
          </cell>
          <cell r="D103" t="str">
            <v>LOCALIZAR</v>
          </cell>
          <cell r="E103" t="str">
            <v>EDIFICIO #1</v>
          </cell>
          <cell r="F103" t="str">
            <v>HFXX5V1</v>
          </cell>
          <cell r="G103" t="str">
            <v>VERDE</v>
          </cell>
          <cell r="H103" t="str">
            <v>COMPUTADORA DE ESCRITORIO</v>
          </cell>
        </row>
        <row r="104">
          <cell r="C104" t="str">
            <v>HFNW5V1</v>
          </cell>
          <cell r="D104" t="str">
            <v>CAMPANA Y PLASMA (SISTEMA SRK)</v>
          </cell>
          <cell r="E104" t="str">
            <v>EDIFICIO #1</v>
          </cell>
          <cell r="F104" t="str">
            <v>HFNW5V1</v>
          </cell>
          <cell r="G104" t="str">
            <v>VERDE</v>
          </cell>
          <cell r="H104" t="str">
            <v>COMPUTADORA DE ESCRITORIO</v>
          </cell>
        </row>
        <row r="105">
          <cell r="C105" t="str">
            <v>HFYT5V1</v>
          </cell>
          <cell r="D105" t="str">
            <v>LOCALIZAR</v>
          </cell>
          <cell r="E105" t="str">
            <v>EDIFICIO #1</v>
          </cell>
          <cell r="F105" t="str">
            <v>HFYT5V1</v>
          </cell>
          <cell r="G105" t="str">
            <v>VERDE</v>
          </cell>
          <cell r="H105" t="str">
            <v>COMPUTADORA DE ESCRITORIO</v>
          </cell>
        </row>
        <row r="106">
          <cell r="C106" t="str">
            <v>HFXS5V1</v>
          </cell>
          <cell r="D106" t="str">
            <v>ACM 202 (SISTEMA SRK)</v>
          </cell>
          <cell r="E106" t="str">
            <v>BUILDING #3</v>
          </cell>
          <cell r="F106" t="str">
            <v>HFXS5V1</v>
          </cell>
          <cell r="G106" t="str">
            <v>VERDE</v>
          </cell>
          <cell r="H106" t="str">
            <v>COMPUTADORA DE ESCRITORIO</v>
          </cell>
        </row>
        <row r="107">
          <cell r="C107" t="str">
            <v>HFXV5V1</v>
          </cell>
          <cell r="D107" t="str">
            <v>HORNO 06 (SISTEMA SRK)</v>
          </cell>
          <cell r="E107" t="str">
            <v>EDIFICIO #2</v>
          </cell>
          <cell r="F107" t="str">
            <v>HFXV5V1</v>
          </cell>
          <cell r="H107" t="str">
            <v>COMPUTADORA DE ESCRITORIO</v>
          </cell>
        </row>
        <row r="108">
          <cell r="C108" t="str">
            <v>HG006V1</v>
          </cell>
          <cell r="D108" t="str">
            <v>ACM 201 (SISTEMA SRK)</v>
          </cell>
          <cell r="E108" t="str">
            <v>EDIFICIO #3</v>
          </cell>
          <cell r="F108" t="str">
            <v>HG006V1</v>
          </cell>
          <cell r="G108" t="str">
            <v>VERDE</v>
          </cell>
          <cell r="H108" t="str">
            <v>COMPUTADORA DE ESCRITORIO</v>
          </cell>
        </row>
        <row r="109">
          <cell r="C109" t="str">
            <v>HFTY5V1</v>
          </cell>
          <cell r="D109" t="str">
            <v>LINEA 301 (SISTEMA SRK)</v>
          </cell>
          <cell r="E109" t="str">
            <v>EDIFICIO #2</v>
          </cell>
          <cell r="F109" t="str">
            <v>HFTY5V1</v>
          </cell>
          <cell r="G109" t="str">
            <v>VERDE</v>
          </cell>
          <cell r="H109" t="str">
            <v>COMPUTADORA DE ESCRITORIO</v>
          </cell>
        </row>
        <row r="110">
          <cell r="C110" t="str">
            <v>HFPS5V1</v>
          </cell>
          <cell r="D110" t="str">
            <v>LINEA 302 (SISTEMA SRK)</v>
          </cell>
          <cell r="E110" t="str">
            <v>BUILDING #2</v>
          </cell>
          <cell r="F110" t="str">
            <v>HFPS5V1</v>
          </cell>
          <cell r="G110" t="str">
            <v>VERDE</v>
          </cell>
          <cell r="H110" t="str">
            <v>COMPUTADORA DE ESCRITORIO</v>
          </cell>
        </row>
        <row r="111">
          <cell r="C111" t="str">
            <v>HFNQ5V1</v>
          </cell>
          <cell r="D111" t="str">
            <v>LINEA 32 (SISTEMA SRK)</v>
          </cell>
          <cell r="E111" t="str">
            <v>BUILDING #2</v>
          </cell>
          <cell r="F111" t="str">
            <v>HFNQ5V1</v>
          </cell>
          <cell r="G111" t="str">
            <v>VERDE</v>
          </cell>
          <cell r="H111" t="str">
            <v>COMPUTADORA DE ESCRITORIO</v>
          </cell>
        </row>
        <row r="112">
          <cell r="C112" t="str">
            <v>HFZR5V1</v>
          </cell>
          <cell r="D112" t="str">
            <v>LINEA 14 (SISTEMA SRK)</v>
          </cell>
          <cell r="E112" t="str">
            <v>EDIFICIO #3</v>
          </cell>
          <cell r="F112" t="str">
            <v>HFZR5V1</v>
          </cell>
          <cell r="G112" t="str">
            <v>VERDE</v>
          </cell>
          <cell r="H112" t="str">
            <v>COMPUTADORA DE ESCRITORIO</v>
          </cell>
        </row>
        <row r="113">
          <cell r="C113" t="str">
            <v>HFYY5V1</v>
          </cell>
          <cell r="D113" t="str">
            <v>LOCALIZAR</v>
          </cell>
          <cell r="E113" t="str">
            <v>EDIFICIO #1</v>
          </cell>
          <cell r="F113" t="str">
            <v>HFYY5V1</v>
          </cell>
          <cell r="G113" t="str">
            <v>VERDE</v>
          </cell>
          <cell r="H113" t="str">
            <v>COMPUTADORA DE ESCRITORIO</v>
          </cell>
        </row>
        <row r="114">
          <cell r="C114" t="str">
            <v>HFXZ5V1</v>
          </cell>
          <cell r="D114" t="str">
            <v>LINEA 18 (SISTEMA SRK)</v>
          </cell>
          <cell r="E114" t="str">
            <v>EDIFICIO #2</v>
          </cell>
          <cell r="F114" t="str">
            <v>HFXZ5V1</v>
          </cell>
          <cell r="G114" t="str">
            <v>VERDE</v>
          </cell>
          <cell r="H114" t="str">
            <v>COMPUTADORA DE ESCRITORIO</v>
          </cell>
        </row>
        <row r="115">
          <cell r="C115" t="str">
            <v>HFSQ5V1</v>
          </cell>
          <cell r="D115" t="str">
            <v>LINEA 12 (SISTEMA SRK)</v>
          </cell>
          <cell r="E115" t="str">
            <v>EDIFICIO #2</v>
          </cell>
          <cell r="F115" t="str">
            <v>HFSQ5V1</v>
          </cell>
          <cell r="G115" t="str">
            <v>VERDE</v>
          </cell>
          <cell r="H115" t="str">
            <v>COMPUTADORA DE ESCRITORIO</v>
          </cell>
        </row>
        <row r="116">
          <cell r="C116" t="str">
            <v>HFPX5V1</v>
          </cell>
          <cell r="D116" t="str">
            <v>LOCALIZAR</v>
          </cell>
          <cell r="E116" t="str">
            <v>EDIFICIO #1</v>
          </cell>
          <cell r="F116" t="str">
            <v>HFPX5V1</v>
          </cell>
          <cell r="G116" t="str">
            <v>VERDE</v>
          </cell>
          <cell r="H116" t="str">
            <v>COMPUTADORA DE ESCRITORIO</v>
          </cell>
        </row>
        <row r="117">
          <cell r="C117" t="str">
            <v>HFTT5V1</v>
          </cell>
          <cell r="D117" t="str">
            <v>HORNO 04 (SISTEMA SRK)</v>
          </cell>
          <cell r="E117" t="str">
            <v>BUILDING #2</v>
          </cell>
          <cell r="F117" t="str">
            <v>HFTT5V1</v>
          </cell>
          <cell r="G117" t="str">
            <v>VERDE</v>
          </cell>
          <cell r="H117" t="str">
            <v>COMPUTADORA DE ESCRITORIO</v>
          </cell>
        </row>
        <row r="118">
          <cell r="C118" t="str">
            <v>HFWV5V1</v>
          </cell>
          <cell r="D118" t="str">
            <v>LOCALIZAR</v>
          </cell>
          <cell r="E118" t="str">
            <v>EDIFICIO #1</v>
          </cell>
          <cell r="F118" t="str">
            <v>HFWV5V1</v>
          </cell>
          <cell r="G118" t="str">
            <v>VERDE</v>
          </cell>
          <cell r="H118" t="str">
            <v>COMPUTADORA DE ESCRITORIO</v>
          </cell>
        </row>
        <row r="119">
          <cell r="C119" t="str">
            <v>HFTX5V1</v>
          </cell>
          <cell r="D119" t="str">
            <v>LOCALIZAR</v>
          </cell>
          <cell r="E119" t="str">
            <v>EDIFICIO #1</v>
          </cell>
          <cell r="F119" t="str">
            <v>HFTX5V1</v>
          </cell>
          <cell r="G119" t="str">
            <v>VERDE</v>
          </cell>
          <cell r="H119" t="str">
            <v>COMPUTADORA DE ESCRITORIO</v>
          </cell>
        </row>
        <row r="120">
          <cell r="C120" t="str">
            <v>HFNY5V1</v>
          </cell>
          <cell r="D120" t="str">
            <v>LINEA 29 (SISTEMA SRK)</v>
          </cell>
          <cell r="E120" t="str">
            <v>EDIFICIO #2</v>
          </cell>
          <cell r="F120" t="str">
            <v>HFNY5V1</v>
          </cell>
          <cell r="G120" t="str">
            <v>VERDE</v>
          </cell>
          <cell r="H120" t="str">
            <v>COMPUTADORA DE ESCRITORIO</v>
          </cell>
        </row>
        <row r="121">
          <cell r="C121" t="str">
            <v>8JDFTW1</v>
          </cell>
          <cell r="D121" t="str">
            <v>BORDES (SISTEMA SRK)</v>
          </cell>
          <cell r="E121" t="str">
            <v>EDIFICIO #1</v>
          </cell>
          <cell r="F121" t="str">
            <v>8JDFTW1</v>
          </cell>
          <cell r="G121" t="str">
            <v>VERDE</v>
          </cell>
          <cell r="H121" t="str">
            <v>COMPUTADORA DE ESCRITORIO</v>
          </cell>
        </row>
        <row r="122">
          <cell r="C122" t="str">
            <v>CVP2Z12</v>
          </cell>
          <cell r="D122" t="str">
            <v>SITE 1 STOCK</v>
          </cell>
          <cell r="E122" t="str">
            <v>EDIFICIO #2</v>
          </cell>
          <cell r="F122" t="str">
            <v>CVP2Z12</v>
          </cell>
          <cell r="H122" t="str">
            <v>COMPUTADORA DE ESCRITORIO</v>
          </cell>
        </row>
        <row r="123">
          <cell r="C123" t="str">
            <v>CVQ0Z12</v>
          </cell>
          <cell r="D123" t="str">
            <v>HORNO 01 (SISTEMA SRK)</v>
          </cell>
          <cell r="E123" t="str">
            <v>BUILDING #2</v>
          </cell>
          <cell r="F123" t="str">
            <v>CVQ0Z12</v>
          </cell>
          <cell r="G123" t="str">
            <v>VERDE</v>
          </cell>
          <cell r="H123" t="str">
            <v>COMPUTADORA DE ESCRITORIO</v>
          </cell>
        </row>
        <row r="124">
          <cell r="C124" t="str">
            <v>JQYXR22</v>
          </cell>
          <cell r="D124" t="str">
            <v>LOCALIZAR</v>
          </cell>
          <cell r="E124" t="str">
            <v>EDIFICIO #1</v>
          </cell>
          <cell r="F124" t="str">
            <v>JQYXR22</v>
          </cell>
          <cell r="H124" t="str">
            <v>COMPUTADORA DE ESCRITORIO</v>
          </cell>
        </row>
        <row r="125">
          <cell r="C125" t="str">
            <v>27D5922</v>
          </cell>
          <cell r="D125" t="str">
            <v>PROTECTOR A (SISTEMA SRK)</v>
          </cell>
          <cell r="E125" t="str">
            <v>BUILDING #2</v>
          </cell>
          <cell r="F125" t="str">
            <v>27D5922</v>
          </cell>
          <cell r="G125" t="str">
            <v>VERDE</v>
          </cell>
          <cell r="H125" t="str">
            <v>COMPUTADORA DE ESCRITORIO</v>
          </cell>
        </row>
        <row r="126">
          <cell r="C126" t="str">
            <v>FZC5922</v>
          </cell>
          <cell r="D126" t="str">
            <v>LINEA 32 PRE-ENSAMBLE (SISTEMA SRK)</v>
          </cell>
          <cell r="E126" t="str">
            <v>BUILDING #2</v>
          </cell>
          <cell r="F126" t="str">
            <v>FZC5922</v>
          </cell>
          <cell r="G126" t="str">
            <v>VERDE</v>
          </cell>
          <cell r="H126" t="str">
            <v>COMPUTADORA DE ESCRITORIO</v>
          </cell>
        </row>
        <row r="127">
          <cell r="C127" t="str">
            <v>J7T8922</v>
          </cell>
          <cell r="D127" t="str">
            <v>AUTOCLAVE 3 (SISTEMA SRK)</v>
          </cell>
          <cell r="E127" t="str">
            <v>EDIFICIO #1</v>
          </cell>
          <cell r="F127" t="str">
            <v>J7T8922</v>
          </cell>
          <cell r="G127" t="str">
            <v>VERDE</v>
          </cell>
          <cell r="H127" t="str">
            <v>COMPUTADORA DE ESCRITORIO</v>
          </cell>
        </row>
        <row r="128">
          <cell r="C128" t="str">
            <v>JJT8922</v>
          </cell>
          <cell r="D128" t="str">
            <v>LOCALIZAR</v>
          </cell>
          <cell r="E128" t="str">
            <v>EDIFICIO #1</v>
          </cell>
          <cell r="F128" t="str">
            <v>JJT8922</v>
          </cell>
          <cell r="G128" t="str">
            <v>VERDE</v>
          </cell>
          <cell r="H128" t="str">
            <v>COMPUTADORA DE ESCRITORIO</v>
          </cell>
        </row>
        <row r="129">
          <cell r="C129" t="str">
            <v>45T8922</v>
          </cell>
          <cell r="D129" t="str">
            <v>CONECTORES CHECKER  (SISTEMA SRK)</v>
          </cell>
          <cell r="E129" t="str">
            <v>EDIFICIO #1</v>
          </cell>
          <cell r="F129" t="str">
            <v>45T8922</v>
          </cell>
          <cell r="G129" t="str">
            <v>VERDE</v>
          </cell>
          <cell r="H129" t="str">
            <v>COMPUTADORA DE ESCRITORIO</v>
          </cell>
        </row>
        <row r="130">
          <cell r="C130" t="str">
            <v>6DHZ482</v>
          </cell>
          <cell r="D130" t="str">
            <v>LOCALIZAR</v>
          </cell>
          <cell r="E130" t="str">
            <v>EDIFICIO #1</v>
          </cell>
          <cell r="F130" t="str">
            <v>6DHZ482</v>
          </cell>
          <cell r="H130" t="str">
            <v>COMPUTADORA DE ESCRITORIO</v>
          </cell>
        </row>
        <row r="131">
          <cell r="C131" t="str">
            <v>6DJQ482</v>
          </cell>
          <cell r="D131" t="str">
            <v>AREA DE LOCKERS (ASISTENTE DE MA)</v>
          </cell>
          <cell r="E131" t="str">
            <v>EDIFICIO #1</v>
          </cell>
          <cell r="F131" t="str">
            <v>6DJQ482</v>
          </cell>
          <cell r="H131" t="str">
            <v>COMPUTADORA DE ESCRITORIO</v>
          </cell>
        </row>
        <row r="132">
          <cell r="C132" t="str">
            <v>6DJP482</v>
          </cell>
          <cell r="D132" t="str">
            <v>QA (TSP)</v>
          </cell>
          <cell r="E132" t="str">
            <v>BUILDING #2</v>
          </cell>
          <cell r="F132" t="str">
            <v>6DJP482</v>
          </cell>
          <cell r="H132" t="str">
            <v>COMPUTADORA DE ESCRITORIO</v>
          </cell>
        </row>
        <row r="133">
          <cell r="C133" t="str">
            <v>6DHY482</v>
          </cell>
          <cell r="D133" t="str">
            <v>LOCALIZAR</v>
          </cell>
          <cell r="E133" t="str">
            <v>EDIFICIO #1</v>
          </cell>
          <cell r="F133" t="str">
            <v>6DHY482</v>
          </cell>
          <cell r="H133" t="str">
            <v>COMPUTADORA DE ESCRITORIO</v>
          </cell>
        </row>
        <row r="134">
          <cell r="C134" t="str">
            <v>6DHX482</v>
          </cell>
          <cell r="D134" t="str">
            <v>LOCALIZAR</v>
          </cell>
          <cell r="E134" t="str">
            <v>EDIFICIO #1</v>
          </cell>
          <cell r="F134" t="str">
            <v>6DHX482</v>
          </cell>
          <cell r="H134" t="str">
            <v>COMPUTADORA DE ESCRITORIO</v>
          </cell>
        </row>
        <row r="135">
          <cell r="C135" t="str">
            <v>6DHV482</v>
          </cell>
          <cell r="D135" t="str">
            <v>LOCALIZAR</v>
          </cell>
          <cell r="E135" t="str">
            <v>EDIFICIO #1</v>
          </cell>
          <cell r="F135" t="str">
            <v>6DHV482</v>
          </cell>
          <cell r="H135" t="str">
            <v>COMPUTADORA DE ESCRITORIO</v>
          </cell>
        </row>
        <row r="136">
          <cell r="C136" t="str">
            <v>6DJ0582</v>
          </cell>
          <cell r="D136" t="str">
            <v>EHS (CAPTURISTA DE SCRAP)</v>
          </cell>
          <cell r="E136" t="str">
            <v>EDIFICIO #2</v>
          </cell>
          <cell r="F136" t="str">
            <v>6DJ0582</v>
          </cell>
          <cell r="H136" t="str">
            <v>COMPUTADORA DE ESCRITORIO</v>
          </cell>
        </row>
        <row r="137">
          <cell r="C137" t="str">
            <v>6DJN482</v>
          </cell>
          <cell r="D137" t="str">
            <v>LOCALIZAR</v>
          </cell>
          <cell r="E137" t="str">
            <v>EDIFICIO #1</v>
          </cell>
          <cell r="F137" t="str">
            <v>6DJN482</v>
          </cell>
          <cell r="H137" t="str">
            <v>COMPUTADORA DE ESCRITORIO</v>
          </cell>
        </row>
        <row r="138">
          <cell r="C138" t="str">
            <v>6DJM482</v>
          </cell>
          <cell r="D138" t="str">
            <v>TOOLCRIB</v>
          </cell>
          <cell r="E138" t="str">
            <v>BUILDING #3</v>
          </cell>
          <cell r="F138" t="str">
            <v>6DJM482</v>
          </cell>
          <cell r="H138" t="str">
            <v>COMPUTADORA DE ESCRITORIO</v>
          </cell>
        </row>
        <row r="139">
          <cell r="C139" t="str">
            <v>6DHW482</v>
          </cell>
          <cell r="D139" t="str">
            <v>BODEGA PT (PC(LIDER))</v>
          </cell>
          <cell r="E139" t="str">
            <v>BUILDING BPT</v>
          </cell>
          <cell r="F139" t="str">
            <v>6DHW482</v>
          </cell>
          <cell r="H139" t="str">
            <v>COMPUTADORA DE ESCRITORIO</v>
          </cell>
        </row>
        <row r="140">
          <cell r="C140" t="str">
            <v>4J44D82</v>
          </cell>
          <cell r="D140" t="str">
            <v>CORTE 1 (SISTEMA SRK)</v>
          </cell>
          <cell r="E140" t="str">
            <v>EDIFICIO #1</v>
          </cell>
          <cell r="F140" t="str">
            <v>4J44D82</v>
          </cell>
          <cell r="G140" t="str">
            <v>VERDE</v>
          </cell>
          <cell r="H140" t="str">
            <v>COMPUTADORA DE ESCRITORIO</v>
          </cell>
        </row>
        <row r="141">
          <cell r="C141" t="str">
            <v>DM44D82</v>
          </cell>
          <cell r="D141" t="str">
            <v>LOCALIZAR</v>
          </cell>
          <cell r="E141" t="str">
            <v>EDIFICIO #1</v>
          </cell>
          <cell r="F141" t="str">
            <v>DM44D82</v>
          </cell>
          <cell r="H141" t="str">
            <v>COMPUTADORA DE ESCRITORIO</v>
          </cell>
        </row>
        <row r="142">
          <cell r="C142" t="str">
            <v>7K44D82</v>
          </cell>
          <cell r="D142" t="str">
            <v>LINEA 23 (SISTEMA SRK)</v>
          </cell>
          <cell r="E142" t="str">
            <v>BUILDING #2</v>
          </cell>
          <cell r="F142" t="str">
            <v>7K44D82</v>
          </cell>
          <cell r="G142" t="str">
            <v>VERDE</v>
          </cell>
          <cell r="H142" t="str">
            <v>COMPUTADORA DE ESCRITORIO</v>
          </cell>
        </row>
        <row r="143">
          <cell r="C143" t="str">
            <v>BL44D82</v>
          </cell>
          <cell r="D143" t="str">
            <v>LOCALIZAR</v>
          </cell>
          <cell r="E143" t="str">
            <v>EDIFICIO #1</v>
          </cell>
          <cell r="F143" t="str">
            <v>BL44D82</v>
          </cell>
          <cell r="G143" t="str">
            <v>VERDE</v>
          </cell>
          <cell r="H143" t="str">
            <v>COMPUTADORA DE ESCRITORIO</v>
          </cell>
        </row>
        <row r="144">
          <cell r="C144" t="str">
            <v>G2S8F82</v>
          </cell>
          <cell r="D144" t="str">
            <v>LOCALIZAR</v>
          </cell>
          <cell r="E144" t="str">
            <v>EDIFICIO #1</v>
          </cell>
          <cell r="F144" t="str">
            <v>G2S8F82</v>
          </cell>
          <cell r="G144" t="str">
            <v>VERDE</v>
          </cell>
          <cell r="H144" t="str">
            <v>COMPUTADORA DE ESCRITORIO</v>
          </cell>
        </row>
        <row r="145">
          <cell r="C145" t="str">
            <v>CD6DQD2</v>
          </cell>
          <cell r="D145" t="str">
            <v>LOCALIZAR</v>
          </cell>
          <cell r="E145" t="str">
            <v>EDIFICIO #1</v>
          </cell>
          <cell r="F145" t="str">
            <v>CD6DQD2</v>
          </cell>
          <cell r="H145" t="str">
            <v>COMPUTADORA DE ESCRITORIO</v>
          </cell>
        </row>
        <row r="146">
          <cell r="C146" t="str">
            <v>CD6CQD2</v>
          </cell>
          <cell r="D146" t="str">
            <v>TR (ENTRENAMIENTO)</v>
          </cell>
          <cell r="E146" t="str">
            <v>BUILDING #2</v>
          </cell>
          <cell r="F146" t="str">
            <v>CD6CQD2</v>
          </cell>
          <cell r="G146" t="str">
            <v>AZUL</v>
          </cell>
          <cell r="H146" t="str">
            <v>COMPUTADORA DE ESCRITORIO</v>
          </cell>
        </row>
        <row r="147">
          <cell r="C147" t="str">
            <v>CD75QD2</v>
          </cell>
          <cell r="D147" t="str">
            <v>LOCALIZAR</v>
          </cell>
          <cell r="E147" t="str">
            <v>EDIFICIO #1</v>
          </cell>
          <cell r="F147" t="str">
            <v>CD75QD2</v>
          </cell>
          <cell r="G147" t="str">
            <v>AZUL</v>
          </cell>
          <cell r="H147" t="str">
            <v>COMPUTADORA DE ESCRITORIO</v>
          </cell>
        </row>
        <row r="148">
          <cell r="C148" t="str">
            <v>CD68QD2</v>
          </cell>
          <cell r="D148" t="str">
            <v>LOCALIZAR</v>
          </cell>
          <cell r="E148" t="str">
            <v>EDIFICIO #1</v>
          </cell>
          <cell r="F148" t="str">
            <v>CD68QD2</v>
          </cell>
          <cell r="H148" t="str">
            <v>COMPUTADORA DE ESCRITORIO</v>
          </cell>
        </row>
        <row r="149">
          <cell r="C149" t="str">
            <v>CD76QD2</v>
          </cell>
          <cell r="D149" t="str">
            <v>LOCALIZAR</v>
          </cell>
          <cell r="E149" t="str">
            <v>EDIFICIO #1</v>
          </cell>
          <cell r="F149" t="str">
            <v>CD76QD2</v>
          </cell>
          <cell r="H149" t="str">
            <v>COMPUTADORA DE ESCRITORIO</v>
          </cell>
        </row>
        <row r="150">
          <cell r="C150" t="str">
            <v>CD6FQD2</v>
          </cell>
          <cell r="D150" t="str">
            <v>LOCALIZAR</v>
          </cell>
          <cell r="E150" t="str">
            <v>EDIFICIO #1</v>
          </cell>
          <cell r="F150" t="str">
            <v>CD6FQD2</v>
          </cell>
          <cell r="H150" t="str">
            <v>COMPUTADORA DE ESCRITORIO</v>
          </cell>
        </row>
        <row r="151">
          <cell r="C151" t="str">
            <v>CD74QD2</v>
          </cell>
          <cell r="D151" t="str">
            <v>LOCALIZAR</v>
          </cell>
          <cell r="E151" t="str">
            <v>EDIFICIO #1</v>
          </cell>
          <cell r="F151" t="str">
            <v>CD74QD2</v>
          </cell>
          <cell r="H151" t="str">
            <v>COMPUTADORA DE ESCRITORIO</v>
          </cell>
        </row>
        <row r="152">
          <cell r="C152" t="str">
            <v>CD6BQD2</v>
          </cell>
          <cell r="D152" t="str">
            <v>LOCALIZAR</v>
          </cell>
          <cell r="E152" t="str">
            <v>EDIFICIO #1</v>
          </cell>
          <cell r="F152" t="str">
            <v>CD6BQD2</v>
          </cell>
          <cell r="H152" t="str">
            <v>COMPUTADORA DE ESCRITORIO</v>
          </cell>
        </row>
        <row r="153">
          <cell r="C153" t="str">
            <v>CD69QD2</v>
          </cell>
          <cell r="D153" t="str">
            <v>LOCALIZAR</v>
          </cell>
          <cell r="E153" t="str">
            <v>EDIFICIO #1</v>
          </cell>
          <cell r="F153" t="str">
            <v>CD69QD2</v>
          </cell>
          <cell r="H153" t="str">
            <v>COMPUTADORA DE ESCRITORIO</v>
          </cell>
        </row>
        <row r="154">
          <cell r="C154" t="str">
            <v>CKM6D92</v>
          </cell>
          <cell r="D154" t="str">
            <v>LOCALIZAR</v>
          </cell>
          <cell r="E154" t="str">
            <v>EDIFICIO #1</v>
          </cell>
          <cell r="F154" t="str">
            <v>CKM6D92</v>
          </cell>
          <cell r="G154" t="str">
            <v>VERDE</v>
          </cell>
          <cell r="H154" t="str">
            <v>COMPUTADORA DE ESCRITORIO</v>
          </cell>
        </row>
        <row r="155">
          <cell r="C155" t="str">
            <v>CKDBD92</v>
          </cell>
          <cell r="D155" t="str">
            <v>LOCALIZAR</v>
          </cell>
          <cell r="E155" t="str">
            <v>EDIFICIO #1</v>
          </cell>
          <cell r="F155" t="str">
            <v>CKDBD92</v>
          </cell>
          <cell r="G155" t="str">
            <v>VERDE</v>
          </cell>
          <cell r="H155" t="str">
            <v>COMPUTADORA DE ESCRITORIO</v>
          </cell>
        </row>
        <row r="156">
          <cell r="C156" t="str">
            <v>CDW7D92</v>
          </cell>
          <cell r="D156" t="str">
            <v>LINEA TN 2 (SISTEMA SRK)</v>
          </cell>
          <cell r="E156" t="str">
            <v>BUILDING #2</v>
          </cell>
          <cell r="F156" t="str">
            <v>CDW7D92</v>
          </cell>
          <cell r="G156" t="str">
            <v>VERDE</v>
          </cell>
          <cell r="H156" t="str">
            <v>COMPUTADORA DE ESCRITORIO</v>
          </cell>
        </row>
        <row r="157">
          <cell r="C157" t="str">
            <v>CLY9D92</v>
          </cell>
          <cell r="D157" t="str">
            <v>LOCALIZAR</v>
          </cell>
          <cell r="E157" t="str">
            <v>EDIFICIO #1</v>
          </cell>
          <cell r="F157" t="str">
            <v>CLY9D92</v>
          </cell>
          <cell r="G157" t="str">
            <v>VERDE</v>
          </cell>
          <cell r="H157" t="str">
            <v>COMPUTADORA DE ESCRITORIO</v>
          </cell>
        </row>
        <row r="158">
          <cell r="C158" t="str">
            <v>CDQ6D92</v>
          </cell>
          <cell r="D158" t="str">
            <v>LOCALIZAR</v>
          </cell>
          <cell r="E158" t="str">
            <v>EDIFICIO #1</v>
          </cell>
          <cell r="F158" t="str">
            <v>CDQ6D92</v>
          </cell>
          <cell r="H158" t="str">
            <v>COMPUTADORA DE ESCRITORIO</v>
          </cell>
        </row>
        <row r="159">
          <cell r="C159" t="str">
            <v>3VX8D92</v>
          </cell>
          <cell r="D159" t="str">
            <v>LOCALIZAR</v>
          </cell>
          <cell r="E159" t="str">
            <v>EDIFICIO #1</v>
          </cell>
          <cell r="F159" t="str">
            <v>3VX8D92</v>
          </cell>
          <cell r="H159" t="str">
            <v>COMPUTADORA DE ESCRITORIO</v>
          </cell>
        </row>
        <row r="160">
          <cell r="C160" t="str">
            <v>7R87D92</v>
          </cell>
          <cell r="D160" t="str">
            <v>LOCALIZAR</v>
          </cell>
          <cell r="E160" t="str">
            <v>EDIFICIO #1</v>
          </cell>
          <cell r="F160" t="str">
            <v>7R87D92</v>
          </cell>
          <cell r="G160" t="str">
            <v>VERDE</v>
          </cell>
          <cell r="H160" t="str">
            <v>COMPUTADORA DE ESCRITORIO</v>
          </cell>
        </row>
        <row r="161">
          <cell r="C161" t="str">
            <v>7Q6DD92</v>
          </cell>
          <cell r="D161" t="str">
            <v>LOCALIZAR</v>
          </cell>
          <cell r="E161" t="str">
            <v>EDIFICIO #1</v>
          </cell>
          <cell r="F161" t="str">
            <v>7Q6DD92</v>
          </cell>
          <cell r="G161" t="str">
            <v>VERDE</v>
          </cell>
          <cell r="H161" t="str">
            <v>COMPUTADORA DE ESCRITORIO</v>
          </cell>
        </row>
        <row r="162">
          <cell r="C162" t="str">
            <v>CCZCD92</v>
          </cell>
          <cell r="D162" t="str">
            <v>CORTE DE FORRO (SISTEMA SRK)</v>
          </cell>
          <cell r="E162" t="str">
            <v>EDIFICIO #1</v>
          </cell>
          <cell r="F162" t="str">
            <v>CCZCD92</v>
          </cell>
          <cell r="H162" t="str">
            <v>COMPUTADORA DE ESCRITORIO</v>
          </cell>
        </row>
        <row r="163">
          <cell r="C163" t="str">
            <v>CJX6D92</v>
          </cell>
          <cell r="D163" t="str">
            <v>LOCALIZAR</v>
          </cell>
          <cell r="E163" t="str">
            <v>EDIFICIO #1</v>
          </cell>
          <cell r="F163" t="str">
            <v>CJX6D92</v>
          </cell>
          <cell r="G163" t="str">
            <v>VERDE</v>
          </cell>
          <cell r="H163" t="str">
            <v>COMPUTADORA DE ESCRITORIO</v>
          </cell>
        </row>
        <row r="164">
          <cell r="C164" t="str">
            <v>BKDGCH2</v>
          </cell>
          <cell r="D164" t="str">
            <v>LOCALIZAR</v>
          </cell>
          <cell r="E164" t="str">
            <v>EDIFICIO #1</v>
          </cell>
          <cell r="F164" t="str">
            <v>BKDGCH2</v>
          </cell>
          <cell r="H164" t="str">
            <v>COMPUTADORA DE ESCRITORIO</v>
          </cell>
        </row>
        <row r="165">
          <cell r="C165" t="str">
            <v>BKDFCH2</v>
          </cell>
          <cell r="D165" t="str">
            <v>OF. PC (LIDERES DE RECIBOS)</v>
          </cell>
          <cell r="E165" t="str">
            <v>BUILDING #2</v>
          </cell>
          <cell r="F165" t="str">
            <v>BKDFCH2</v>
          </cell>
          <cell r="H165" t="str">
            <v>COMPUTADORA DE ESCRITORIO</v>
          </cell>
        </row>
        <row r="166">
          <cell r="C166" t="str">
            <v>B4KQQD2</v>
          </cell>
          <cell r="D166" t="str">
            <v>LINEA 42 (SISTEMA SRK)</v>
          </cell>
          <cell r="E166" t="str">
            <v>BUILDING #2</v>
          </cell>
          <cell r="F166" t="str">
            <v>B4KQQD2</v>
          </cell>
          <cell r="G166" t="str">
            <v>VERDE</v>
          </cell>
          <cell r="H166" t="str">
            <v>COMPUTADORA DE ESCRITORIO</v>
          </cell>
        </row>
        <row r="167">
          <cell r="C167" t="str">
            <v>9Y4PQD2</v>
          </cell>
          <cell r="D167" t="str">
            <v>LOCALIZAR</v>
          </cell>
          <cell r="E167" t="str">
            <v>EDIFICIO #1</v>
          </cell>
          <cell r="F167" t="str">
            <v>9Y4PQD2</v>
          </cell>
          <cell r="H167" t="str">
            <v>COMPUTADORA DE ESCRITORIO</v>
          </cell>
        </row>
        <row r="168">
          <cell r="C168" t="str">
            <v>B7PSQD2</v>
          </cell>
          <cell r="D168" t="str">
            <v>LOCALIZAR</v>
          </cell>
          <cell r="E168" t="str">
            <v>EDIFICIO #1</v>
          </cell>
          <cell r="F168" t="str">
            <v>B7PSQD2</v>
          </cell>
          <cell r="G168" t="str">
            <v>VERDE</v>
          </cell>
          <cell r="H168" t="str">
            <v>COMPUTADORA DE ESCRITORIO</v>
          </cell>
        </row>
        <row r="169">
          <cell r="C169" t="str">
            <v>8XRGQD2</v>
          </cell>
          <cell r="D169" t="str">
            <v>LOCALIZAR</v>
          </cell>
          <cell r="E169" t="str">
            <v>EDIFICIO #1</v>
          </cell>
          <cell r="F169" t="str">
            <v>8XRGQD2</v>
          </cell>
          <cell r="G169" t="str">
            <v>VERDE</v>
          </cell>
          <cell r="H169" t="str">
            <v>COMPUTADORA DE ESCRITORIO</v>
          </cell>
        </row>
        <row r="170">
          <cell r="C170" t="str">
            <v>8Y0GQD2</v>
          </cell>
          <cell r="D170" t="str">
            <v>LOCALIZAR</v>
          </cell>
          <cell r="E170" t="str">
            <v>EDIFICIO #1</v>
          </cell>
          <cell r="F170" t="str">
            <v>8Y0GQD2</v>
          </cell>
          <cell r="H170" t="str">
            <v>COMPUTADORA DE ESCRITORIO</v>
          </cell>
        </row>
        <row r="171">
          <cell r="C171" t="str">
            <v>8XWLQD2</v>
          </cell>
          <cell r="D171" t="str">
            <v>LOCALIZAR</v>
          </cell>
          <cell r="E171" t="str">
            <v>EDIFICIO #1</v>
          </cell>
          <cell r="F171" t="str">
            <v>8XWLQD2</v>
          </cell>
          <cell r="G171" t="str">
            <v>VERDE</v>
          </cell>
          <cell r="H171" t="str">
            <v>COMPUTADORA DE ESCRITORIO</v>
          </cell>
        </row>
        <row r="172">
          <cell r="C172" t="str">
            <v>901YWK2</v>
          </cell>
          <cell r="D172" t="str">
            <v>TR (ENTRENAMIENTO LIDER)</v>
          </cell>
          <cell r="E172" t="str">
            <v>EDIFICIO #2</v>
          </cell>
          <cell r="F172" t="str">
            <v>901YWK2</v>
          </cell>
          <cell r="G172" t="str">
            <v>AZUL</v>
          </cell>
          <cell r="H172" t="str">
            <v>COMPUTADORA DE ESCRITORIO</v>
          </cell>
        </row>
        <row r="173">
          <cell r="C173" t="str">
            <v>905ZWK2</v>
          </cell>
          <cell r="D173" t="str">
            <v>LOCALIZAR</v>
          </cell>
          <cell r="E173" t="str">
            <v>EDIFICIO #1</v>
          </cell>
          <cell r="F173" t="str">
            <v>905ZWK2</v>
          </cell>
          <cell r="H173" t="str">
            <v>COMPUTADORA DE ESCRITORIO</v>
          </cell>
        </row>
        <row r="174">
          <cell r="C174" t="str">
            <v>906ZWK2</v>
          </cell>
          <cell r="D174" t="str">
            <v>LOCALIZAR</v>
          </cell>
          <cell r="E174" t="str">
            <v>EDIFICIO #1</v>
          </cell>
          <cell r="F174" t="str">
            <v>906ZWK2</v>
          </cell>
          <cell r="G174" t="str">
            <v>AZUL</v>
          </cell>
          <cell r="H174" t="str">
            <v>COMPUTADORA DE ESCRITORIO</v>
          </cell>
        </row>
        <row r="175">
          <cell r="C175" t="str">
            <v>907ZWK2</v>
          </cell>
          <cell r="D175" t="str">
            <v>SITE (STOCK)</v>
          </cell>
          <cell r="E175" t="str">
            <v>EDIFICIO #2</v>
          </cell>
          <cell r="F175" t="str">
            <v>907ZWK2</v>
          </cell>
          <cell r="H175" t="str">
            <v>COMPUTADORA DE ESCRITORIO</v>
          </cell>
        </row>
        <row r="176">
          <cell r="C176" t="str">
            <v>9031XK2</v>
          </cell>
          <cell r="D176" t="str">
            <v>LOCALIZAR</v>
          </cell>
          <cell r="E176" t="str">
            <v>EDIFICIO #1</v>
          </cell>
          <cell r="F176" t="str">
            <v>9031XK2</v>
          </cell>
          <cell r="H176" t="str">
            <v>COMPUTADORA DE ESCRITORIO</v>
          </cell>
        </row>
        <row r="177">
          <cell r="C177" t="str">
            <v>9082XK2</v>
          </cell>
          <cell r="D177" t="str">
            <v>QA (AUDITORIA DE PROCESOS)</v>
          </cell>
          <cell r="E177" t="str">
            <v>EDIFICIO #2</v>
          </cell>
          <cell r="F177" t="str">
            <v>9082XK2</v>
          </cell>
          <cell r="H177" t="str">
            <v>COMPUTADORA DE ESCRITORIO</v>
          </cell>
        </row>
        <row r="178">
          <cell r="C178" t="str">
            <v>9032XK2</v>
          </cell>
          <cell r="D178" t="str">
            <v>LOCALIZAR</v>
          </cell>
          <cell r="E178" t="str">
            <v>EDIFICIO #1</v>
          </cell>
          <cell r="F178" t="str">
            <v>9032XK2</v>
          </cell>
          <cell r="H178" t="str">
            <v>COMPUTADORA DE ESCRITORIO</v>
          </cell>
        </row>
        <row r="179">
          <cell r="C179" t="str">
            <v>7F1SGM2</v>
          </cell>
          <cell r="D179" t="str">
            <v>BODEGA PT (IFS/DAYTECH)</v>
          </cell>
          <cell r="E179" t="str">
            <v>BUILDING BPT</v>
          </cell>
          <cell r="F179" t="str">
            <v>7F1SGM2</v>
          </cell>
          <cell r="H179" t="str">
            <v>COMPUTADORA DE ESCRITORIO</v>
          </cell>
        </row>
        <row r="180">
          <cell r="C180" t="str">
            <v>CH899M2</v>
          </cell>
          <cell r="D180" t="str">
            <v>LOCALIZAR</v>
          </cell>
          <cell r="E180" t="str">
            <v>EDIFICIO #1</v>
          </cell>
          <cell r="F180" t="str">
            <v>CH899M2</v>
          </cell>
          <cell r="G180" t="str">
            <v>VERDE</v>
          </cell>
          <cell r="H180" t="str">
            <v>COMPUTADORA DE ESCRITORIO</v>
          </cell>
        </row>
        <row r="181">
          <cell r="C181" t="str">
            <v>8QHX0Q2</v>
          </cell>
          <cell r="D181" t="str">
            <v>LOCALIZAR</v>
          </cell>
          <cell r="E181" t="str">
            <v>EDIFICIO #1</v>
          </cell>
          <cell r="F181" t="str">
            <v>8QHX0Q2</v>
          </cell>
          <cell r="H181" t="str">
            <v>COMPUTADORA DE ESCRITORIO</v>
          </cell>
        </row>
        <row r="182">
          <cell r="C182" t="str">
            <v>8QHV0Q2</v>
          </cell>
          <cell r="D182" t="str">
            <v>QA (LIDERES DE AUDITORIA 200%)</v>
          </cell>
          <cell r="E182" t="str">
            <v>EDIFICIO #2</v>
          </cell>
          <cell r="F182" t="str">
            <v>8QHV0Q2</v>
          </cell>
          <cell r="H182" t="str">
            <v>COMPUTADORA DE ESCRITORIO</v>
          </cell>
        </row>
        <row r="183">
          <cell r="C183" t="str">
            <v>8QJY0Q2</v>
          </cell>
          <cell r="D183" t="str">
            <v>LOCALIZAR</v>
          </cell>
          <cell r="E183" t="str">
            <v>EDIFICIO #1</v>
          </cell>
          <cell r="F183" t="str">
            <v>8QJY0Q2</v>
          </cell>
          <cell r="H183" t="str">
            <v>COMPUTADORA DE ESCRITORIO</v>
          </cell>
        </row>
        <row r="184">
          <cell r="C184" t="str">
            <v>8QJS0Q2</v>
          </cell>
          <cell r="D184" t="str">
            <v>MA AREA DE OFICINAS (S/V HORNOS)</v>
          </cell>
          <cell r="E184" t="str">
            <v>EDIFICIO #2</v>
          </cell>
          <cell r="F184" t="str">
            <v>8QJS0Q2</v>
          </cell>
          <cell r="H184" t="str">
            <v>COMPUTADORA DE ESCRITORIO</v>
          </cell>
        </row>
        <row r="185">
          <cell r="C185" t="str">
            <v>8QJW0Q2</v>
          </cell>
          <cell r="D185" t="str">
            <v>LOCALIZAR</v>
          </cell>
          <cell r="E185" t="str">
            <v>EDIFICIO #1</v>
          </cell>
          <cell r="F185" t="str">
            <v>8QJW0Q2</v>
          </cell>
          <cell r="H185" t="str">
            <v>COMPUTADORA DE ESCRITORIO</v>
          </cell>
        </row>
        <row r="186">
          <cell r="C186" t="str">
            <v>FLF7BZ2</v>
          </cell>
          <cell r="D186" t="str">
            <v>LOCALIZAR</v>
          </cell>
          <cell r="E186" t="str">
            <v>EDIFICIO #1</v>
          </cell>
          <cell r="F186" t="str">
            <v>FLF7BZ2</v>
          </cell>
          <cell r="G186" t="str">
            <v>AZUL</v>
          </cell>
          <cell r="H186" t="str">
            <v>COMPUTADORA DE ESCRITORIO</v>
          </cell>
        </row>
        <row r="187">
          <cell r="C187" t="str">
            <v>FLF9BZ2</v>
          </cell>
          <cell r="D187" t="str">
            <v>LOCALIZAR</v>
          </cell>
          <cell r="E187" t="str">
            <v>EDIFICIO #1</v>
          </cell>
          <cell r="F187" t="str">
            <v>FLF9BZ2</v>
          </cell>
          <cell r="H187" t="str">
            <v>COMPUTADORA DE ESCRITORIO</v>
          </cell>
        </row>
        <row r="188">
          <cell r="C188" t="str">
            <v>FLF8BZ2</v>
          </cell>
          <cell r="D188" t="str">
            <v>PE (SERGIO CHAPARRO)</v>
          </cell>
          <cell r="E188" t="str">
            <v>EDIFICIO #2</v>
          </cell>
          <cell r="F188" t="str">
            <v>FLF8BZ2</v>
          </cell>
          <cell r="H188" t="str">
            <v>COMPUTADORA DE ESCRITORIO</v>
          </cell>
        </row>
        <row r="189">
          <cell r="C189" t="str">
            <v>FLF6BZ2</v>
          </cell>
          <cell r="D189" t="str">
            <v>LOCALIZAR</v>
          </cell>
          <cell r="E189" t="str">
            <v>EDIFICIO #1</v>
          </cell>
          <cell r="F189" t="str">
            <v>FLF6BZ2</v>
          </cell>
          <cell r="G189" t="str">
            <v>AZUL</v>
          </cell>
          <cell r="H189" t="str">
            <v>COMPUTADORA DE ESCRITORIO</v>
          </cell>
        </row>
        <row r="190">
          <cell r="C190" t="str">
            <v>8QHZ0Q2</v>
          </cell>
          <cell r="D190" t="str">
            <v>LOCALIZAR</v>
          </cell>
          <cell r="E190" t="str">
            <v>EDIFICIO #1</v>
          </cell>
          <cell r="F190" t="str">
            <v>8QHZ0Q2</v>
          </cell>
          <cell r="H190" t="str">
            <v>COMPUTADORA DE ESCRITORIO</v>
          </cell>
        </row>
        <row r="191">
          <cell r="C191" t="str">
            <v>8QJV0Q2</v>
          </cell>
          <cell r="D191" t="str">
            <v>LOCALIZAR</v>
          </cell>
          <cell r="E191" t="str">
            <v>EDIFICIO #1</v>
          </cell>
          <cell r="F191" t="str">
            <v>8QJV0Q2</v>
          </cell>
          <cell r="H191" t="str">
            <v>COMPUTADORA DE ESCRITORIO</v>
          </cell>
        </row>
        <row r="192">
          <cell r="C192" t="str">
            <v>8QJX0Q2</v>
          </cell>
          <cell r="D192" t="str">
            <v>MT TOOL CRIB (SUPEERVISOR)</v>
          </cell>
          <cell r="E192" t="str">
            <v>EDIFICIO #2</v>
          </cell>
          <cell r="F192" t="str">
            <v>8QJX0Q2</v>
          </cell>
          <cell r="H192" t="str">
            <v>COMPUTADORA DE ESCRITORIO</v>
          </cell>
        </row>
        <row r="193">
          <cell r="C193" t="str">
            <v>8QJZ0Q2</v>
          </cell>
          <cell r="D193" t="str">
            <v>LOCALIZAR</v>
          </cell>
          <cell r="E193" t="str">
            <v>EDIFICIO #1</v>
          </cell>
          <cell r="F193" t="str">
            <v>8QJZ0Q2</v>
          </cell>
          <cell r="H193" t="str">
            <v>COMPUTADORA DE ESCRITORIO</v>
          </cell>
        </row>
        <row r="194">
          <cell r="C194" t="str">
            <v>8QHW0Q2</v>
          </cell>
          <cell r="D194" t="str">
            <v>ÁREA INSPECCIÓN DE INCOMING (LIDER)</v>
          </cell>
          <cell r="E194" t="str">
            <v>EDIFICIO #1</v>
          </cell>
          <cell r="F194" t="str">
            <v>8QHW0Q2</v>
          </cell>
          <cell r="H194" t="str">
            <v>COMPUTADORA DE ESCRITORIO</v>
          </cell>
        </row>
        <row r="195">
          <cell r="C195" t="str">
            <v>8QHY0Q2</v>
          </cell>
          <cell r="D195" t="str">
            <v>PE (DOCUMENTOS ING)</v>
          </cell>
          <cell r="E195" t="str">
            <v>EDIFICIO #2</v>
          </cell>
          <cell r="F195" t="str">
            <v>8QHY0Q2</v>
          </cell>
          <cell r="H195" t="str">
            <v>COMPUTADORA DE ESCRITORIO</v>
          </cell>
        </row>
        <row r="196">
          <cell r="C196" t="str">
            <v>8QJT0Q2</v>
          </cell>
          <cell r="D196" t="str">
            <v>LOCALIZAR</v>
          </cell>
          <cell r="E196" t="str">
            <v>EDIFICIO #1</v>
          </cell>
          <cell r="F196" t="str">
            <v>8QJT0Q2</v>
          </cell>
          <cell r="H196" t="str">
            <v>COMPUTADORA DE ESCRITORIO</v>
          </cell>
        </row>
        <row r="197">
          <cell r="C197" t="str">
            <v>255CTR1</v>
          </cell>
          <cell r="D197" t="str">
            <v>LOCALIZAR</v>
          </cell>
          <cell r="E197" t="str">
            <v>EDIFICIO #1</v>
          </cell>
          <cell r="F197" t="str">
            <v>255CTR1</v>
          </cell>
          <cell r="G197" t="str">
            <v>AZUL</v>
          </cell>
          <cell r="H197" t="str">
            <v>COMPUTADORA DE ESCRITORIO</v>
          </cell>
        </row>
        <row r="198">
          <cell r="C198" t="str">
            <v>49CSM83</v>
          </cell>
          <cell r="D198" t="str">
            <v>CTRL DOCUMENTOS (CTRL DOCS #2)</v>
          </cell>
          <cell r="E198" t="str">
            <v>EDIFICIO #1</v>
          </cell>
          <cell r="F198" t="str">
            <v>49CSM83</v>
          </cell>
          <cell r="G198" t="str">
            <v>AZUL</v>
          </cell>
          <cell r="H198" t="str">
            <v>COMPUTADORA DE ESCRITORIO</v>
          </cell>
        </row>
        <row r="199">
          <cell r="C199" t="str">
            <v>49CRM83</v>
          </cell>
          <cell r="D199" t="str">
            <v>AREA DE LOCKERS (S/V HORNOS IZQ)</v>
          </cell>
          <cell r="E199" t="str">
            <v>EDIFICIO #1</v>
          </cell>
          <cell r="F199" t="str">
            <v>49CRM83</v>
          </cell>
          <cell r="H199" t="str">
            <v>COMPUTADORA DE ESCRITORIO</v>
          </cell>
        </row>
        <row r="200">
          <cell r="C200" t="str">
            <v>481TM83</v>
          </cell>
          <cell r="D200" t="str">
            <v>CTRL DOCUMENTOS (SANDRA VAZQUEZ)</v>
          </cell>
          <cell r="E200" t="str">
            <v>EDIFICIO #1</v>
          </cell>
          <cell r="F200" t="str">
            <v>481TM83</v>
          </cell>
          <cell r="G200" t="str">
            <v>AZUL</v>
          </cell>
          <cell r="H200" t="str">
            <v>COMPUTADORA DE ESCRITORIO</v>
          </cell>
        </row>
        <row r="201">
          <cell r="C201" t="str">
            <v>8LFTDF3</v>
          </cell>
          <cell r="D201" t="str">
            <v>LOCALIZAR</v>
          </cell>
          <cell r="E201" t="str">
            <v>EDIFICIO #1</v>
          </cell>
          <cell r="F201" t="str">
            <v>8LFTDF3</v>
          </cell>
          <cell r="G201" t="str">
            <v>AZUL</v>
          </cell>
          <cell r="H201" t="str">
            <v>COMPUTADORA DE ESCRITORIO</v>
          </cell>
        </row>
        <row r="202">
          <cell r="C202" t="str">
            <v>8LFVDF3</v>
          </cell>
          <cell r="D202" t="str">
            <v>AREA DE ACCORD (S/V LINEAS)</v>
          </cell>
          <cell r="E202" t="str">
            <v>EDIFICIO #1</v>
          </cell>
          <cell r="F202" t="str">
            <v>8LFVDF3</v>
          </cell>
          <cell r="H202" t="str">
            <v>COMPUTADORA DE ESCRITORIO</v>
          </cell>
        </row>
        <row r="203">
          <cell r="C203" t="str">
            <v>8LF3FF3</v>
          </cell>
          <cell r="D203" t="str">
            <v>LOCALIZAR</v>
          </cell>
          <cell r="E203" t="str">
            <v>EDIFICIO #1</v>
          </cell>
          <cell r="F203" t="str">
            <v>8LF3FF3</v>
          </cell>
          <cell r="H203" t="str">
            <v>COMPUTADORA DE ESCRITORIO</v>
          </cell>
        </row>
        <row r="204">
          <cell r="C204" t="str">
            <v>8LF2FF3</v>
          </cell>
          <cell r="D204" t="str">
            <v>LOCALIZAR</v>
          </cell>
          <cell r="E204" t="str">
            <v>EDIFICIO #1</v>
          </cell>
          <cell r="F204" t="str">
            <v>8LF2FF3</v>
          </cell>
          <cell r="H204" t="str">
            <v>COMPUTADORA DE ESCRITORIO</v>
          </cell>
        </row>
        <row r="205">
          <cell r="C205" t="str">
            <v>6ZJWDF3</v>
          </cell>
          <cell r="D205" t="str">
            <v>OF DE ING (MANTENIMIENTO)</v>
          </cell>
          <cell r="E205" t="str">
            <v>EDIFICIO #2</v>
          </cell>
          <cell r="F205" t="str">
            <v>6ZJWDF3</v>
          </cell>
          <cell r="H205" t="str">
            <v>COMPUTADORA DE ESCRITORIO</v>
          </cell>
        </row>
        <row r="206">
          <cell r="C206" t="str">
            <v>6ZJZDF3</v>
          </cell>
          <cell r="D206" t="str">
            <v>MA AREA DE OFICINAS (S/V LINEAS)</v>
          </cell>
          <cell r="E206" t="str">
            <v>BUILDING #2</v>
          </cell>
          <cell r="F206" t="str">
            <v>6ZJZDF3</v>
          </cell>
          <cell r="H206" t="str">
            <v>COMPUTADORA DE ESCRITORIO</v>
          </cell>
        </row>
        <row r="207">
          <cell r="C207" t="str">
            <v>6ZJVDF3</v>
          </cell>
          <cell r="D207" t="str">
            <v>MA AREA DE OFICINAS (S/V LINEAS)</v>
          </cell>
          <cell r="E207" t="str">
            <v>BUILDING #2</v>
          </cell>
          <cell r="F207" t="str">
            <v>6ZJVDF3</v>
          </cell>
          <cell r="H207" t="str">
            <v>COMPUTADORA DE ESCRITORIO</v>
          </cell>
        </row>
        <row r="208">
          <cell r="C208" t="str">
            <v>6ZJXDF3</v>
          </cell>
          <cell r="D208" t="str">
            <v>AREA CORTE 1 (S/V EXT.S)</v>
          </cell>
          <cell r="E208" t="str">
            <v>BUILDING #1</v>
          </cell>
          <cell r="F208" t="str">
            <v>6ZJXDF3</v>
          </cell>
          <cell r="H208" t="str">
            <v>COMPUTADORA DE ESCRITORIO</v>
          </cell>
        </row>
        <row r="209">
          <cell r="C209" t="str">
            <v>6ZJYDF3</v>
          </cell>
          <cell r="D209" t="str">
            <v>MA AREA DE OFICINAS (S/V LINEAS)</v>
          </cell>
          <cell r="E209" t="str">
            <v>BUILDING #2</v>
          </cell>
          <cell r="F209" t="str">
            <v>6ZJYDF3</v>
          </cell>
          <cell r="H209" t="str">
            <v>COMPUTADORA DE ESCRITORIO</v>
          </cell>
        </row>
        <row r="210">
          <cell r="C210" t="str">
            <v>6ZJTDF3</v>
          </cell>
          <cell r="D210" t="str">
            <v>AREA DE LOCKERS (S/V LINEAS)</v>
          </cell>
          <cell r="E210" t="str">
            <v>BUILDING #1</v>
          </cell>
          <cell r="F210" t="str">
            <v>6ZJTDF3</v>
          </cell>
          <cell r="H210" t="str">
            <v>COMPUTADORA DE ESCRITORIO</v>
          </cell>
        </row>
        <row r="211">
          <cell r="C211" t="str">
            <v>8C8CWX3</v>
          </cell>
          <cell r="D211" t="str">
            <v>EMBARQUES</v>
          </cell>
          <cell r="E211" t="str">
            <v>BUILDING #3</v>
          </cell>
          <cell r="F211" t="str">
            <v>8C8CWX3</v>
          </cell>
          <cell r="H211" t="str">
            <v>COMPUTADORA DE ESCRITORIO</v>
          </cell>
        </row>
        <row r="212">
          <cell r="C212" t="str">
            <v>7C8CWX3</v>
          </cell>
          <cell r="D212" t="str">
            <v>LOCALIZAR</v>
          </cell>
          <cell r="E212" t="str">
            <v>EDIFICIO #1</v>
          </cell>
          <cell r="F212" t="str">
            <v>7C8CWX3</v>
          </cell>
          <cell r="G212" t="str">
            <v>AZUL</v>
          </cell>
          <cell r="H212" t="str">
            <v>COMPUTADORA DE ESCRITORIO</v>
          </cell>
        </row>
        <row r="213">
          <cell r="C213" t="str">
            <v>8FCCWX3</v>
          </cell>
          <cell r="D213" t="str">
            <v>LOCALIZAR</v>
          </cell>
          <cell r="E213" t="str">
            <v>EDIFICIO #1</v>
          </cell>
          <cell r="F213" t="str">
            <v>8FCCWX3</v>
          </cell>
          <cell r="G213" t="str">
            <v>AZUL</v>
          </cell>
          <cell r="H213" t="str">
            <v>COMPUTADORA DE ESCRITORIO</v>
          </cell>
        </row>
        <row r="214">
          <cell r="C214" t="str">
            <v>BDCCWX3</v>
          </cell>
          <cell r="D214" t="str">
            <v>LOCALIZAR</v>
          </cell>
          <cell r="E214" t="str">
            <v>EDIFICIO #1</v>
          </cell>
          <cell r="F214" t="str">
            <v>BDCCWX3</v>
          </cell>
          <cell r="H214" t="str">
            <v>COMPUTADORA DE ESCRITORIO</v>
          </cell>
        </row>
        <row r="215">
          <cell r="C215" t="str">
            <v>JDCCWX3</v>
          </cell>
          <cell r="D215" t="str">
            <v>OF. PC (CAPURISTA)</v>
          </cell>
          <cell r="E215" t="str">
            <v>EDIFICIO #2</v>
          </cell>
          <cell r="F215" t="str">
            <v>JDCCWX3</v>
          </cell>
          <cell r="H215" t="str">
            <v>COMPUTADORA DE ESCRITORIO</v>
          </cell>
        </row>
        <row r="216">
          <cell r="C216" t="str">
            <v>6C8CWX3</v>
          </cell>
          <cell r="D216" t="str">
            <v>LOCALIZAR</v>
          </cell>
          <cell r="E216" t="str">
            <v>EDIFICIO #1</v>
          </cell>
          <cell r="F216" t="str">
            <v>6C8CWX3</v>
          </cell>
          <cell r="G216" t="str">
            <v>AZUL</v>
          </cell>
          <cell r="H216" t="str">
            <v>COMPUTADORA DE ESCRITORIO</v>
          </cell>
        </row>
        <row r="217">
          <cell r="C217" t="str">
            <v>1FCCWX3</v>
          </cell>
          <cell r="D217" t="str">
            <v>LOCALIZAR</v>
          </cell>
          <cell r="E217" t="str">
            <v>EDIFICIO #1</v>
          </cell>
          <cell r="F217" t="str">
            <v>1FCCWX3</v>
          </cell>
          <cell r="H217" t="str">
            <v>COMPUTADORA DE ESCRITORIO</v>
          </cell>
        </row>
        <row r="218">
          <cell r="C218" t="str">
            <v>CC8CWX3</v>
          </cell>
          <cell r="D218" t="str">
            <v>SUP LINEAS</v>
          </cell>
          <cell r="E218" t="str">
            <v>EDIFICIO #3</v>
          </cell>
          <cell r="F218" t="str">
            <v>CC8CWX3</v>
          </cell>
          <cell r="H218" t="str">
            <v>COMPUTADORA DE ESCRITORIO</v>
          </cell>
        </row>
        <row r="219">
          <cell r="C219" t="str">
            <v>CDCCWX3</v>
          </cell>
          <cell r="D219" t="str">
            <v>PC (ANGEL EDUARDO RENDON MOLINA)</v>
          </cell>
          <cell r="E219" t="str">
            <v>BUILDING #2</v>
          </cell>
          <cell r="F219" t="str">
            <v>CDCCWX3</v>
          </cell>
          <cell r="H219" t="str">
            <v>COMPUTADORA DE ESCRITORIO</v>
          </cell>
        </row>
        <row r="220">
          <cell r="C220" t="str">
            <v>6FCCWX3</v>
          </cell>
          <cell r="D220" t="str">
            <v xml:space="preserve">AUDITORIA DE PROCESOS </v>
          </cell>
          <cell r="E220" t="str">
            <v>EDIFICIO #1</v>
          </cell>
          <cell r="F220" t="str">
            <v>6FCCWX3</v>
          </cell>
          <cell r="H220" t="str">
            <v>COMPUTADORA DE ESCRITORIO</v>
          </cell>
        </row>
        <row r="221">
          <cell r="C221" t="str">
            <v>DB8CWX3</v>
          </cell>
          <cell r="D221" t="str">
            <v>LOCALIZAR</v>
          </cell>
          <cell r="E221" t="str">
            <v>EDIFICIO #1</v>
          </cell>
          <cell r="F221" t="str">
            <v>DB8CWX3</v>
          </cell>
          <cell r="H221" t="str">
            <v>COMPUTADORA DE ESCRITORIO</v>
          </cell>
        </row>
        <row r="222">
          <cell r="C222" t="str">
            <v>DC8CWX3</v>
          </cell>
          <cell r="D222" t="str">
            <v>LOCALIZAR</v>
          </cell>
          <cell r="E222" t="str">
            <v>EDIFICIO #1</v>
          </cell>
          <cell r="F222" t="str">
            <v>DC8CWX3</v>
          </cell>
          <cell r="G222" t="str">
            <v>AZUL</v>
          </cell>
          <cell r="H222" t="str">
            <v>COMPUTADORA DE ESCRITORIO</v>
          </cell>
        </row>
        <row r="223">
          <cell r="C223" t="str">
            <v>CFCCWX3</v>
          </cell>
          <cell r="D223" t="str">
            <v>AREA AUTOCLAVE (S/V AUTOCLAVE)</v>
          </cell>
          <cell r="E223" t="str">
            <v>EDIFICIO #1</v>
          </cell>
          <cell r="F223" t="str">
            <v>CFCCWX3</v>
          </cell>
          <cell r="H223" t="str">
            <v>COMPUTADORA DE ESCRITORIO</v>
          </cell>
        </row>
        <row r="224">
          <cell r="C224" t="str">
            <v>DDCCWX3</v>
          </cell>
          <cell r="D224" t="str">
            <v>PC (EMBARQUES)</v>
          </cell>
          <cell r="E224" t="str">
            <v>EDIFICIO #2</v>
          </cell>
          <cell r="F224" t="str">
            <v>DDCCWX3</v>
          </cell>
          <cell r="H224" t="str">
            <v>COMPUTADORA DE ESCRITORIO</v>
          </cell>
        </row>
        <row r="225">
          <cell r="C225" t="str">
            <v>HB8CWX3</v>
          </cell>
          <cell r="D225" t="str">
            <v>CONECTORES SUPERVISOR</v>
          </cell>
          <cell r="E225" t="str">
            <v>EDIFICIO #1</v>
          </cell>
          <cell r="F225" t="str">
            <v>HB8CWX3</v>
          </cell>
          <cell r="H225" t="str">
            <v>COMPUTADORA DE ESCRITORIO</v>
          </cell>
        </row>
        <row r="226">
          <cell r="C226" t="str">
            <v>J5LBDX3</v>
          </cell>
          <cell r="D226" t="str">
            <v>LOCALIZAR</v>
          </cell>
          <cell r="E226" t="str">
            <v>EDIFICIO #1</v>
          </cell>
          <cell r="F226" t="str">
            <v>J5LBDX3</v>
          </cell>
          <cell r="H226" t="str">
            <v>COMPUTADORA DE ESCRITORIO</v>
          </cell>
        </row>
        <row r="227">
          <cell r="C227" t="str">
            <v>76LBDX3</v>
          </cell>
          <cell r="D227" t="str">
            <v>ENTRENAMIENTO</v>
          </cell>
          <cell r="E227" t="str">
            <v>BUILDING #3</v>
          </cell>
          <cell r="F227" t="str">
            <v>76LBDX3</v>
          </cell>
          <cell r="H227" t="str">
            <v>COMPUTADORA DE ESCRITORIO</v>
          </cell>
        </row>
        <row r="228">
          <cell r="C228" t="str">
            <v>46LBDX3</v>
          </cell>
          <cell r="D228" t="str">
            <v>LOCALIZAR</v>
          </cell>
          <cell r="E228" t="str">
            <v>EDIFICIO #1</v>
          </cell>
          <cell r="F228" t="str">
            <v>46LBDX3</v>
          </cell>
          <cell r="H228" t="str">
            <v>COMPUTADORA DE ESCRITORIO</v>
          </cell>
        </row>
        <row r="229">
          <cell r="C229" t="str">
            <v>26LBDX3</v>
          </cell>
          <cell r="D229" t="str">
            <v>LOCALIZAR</v>
          </cell>
          <cell r="E229" t="str">
            <v>EDIFICIO #1</v>
          </cell>
          <cell r="F229" t="str">
            <v>26LBDX3</v>
          </cell>
          <cell r="H229" t="str">
            <v>COMPUTADORA DE ESCRITORIO</v>
          </cell>
        </row>
        <row r="230">
          <cell r="C230" t="str">
            <v>HP3ZQP2</v>
          </cell>
          <cell r="D230" t="str">
            <v>LOCALIZAR</v>
          </cell>
          <cell r="E230" t="str">
            <v>EDIFICIO #1</v>
          </cell>
          <cell r="F230" t="str">
            <v>HP3ZQP2</v>
          </cell>
          <cell r="G230" t="str">
            <v>VERDE</v>
          </cell>
          <cell r="H230" t="str">
            <v>COMPUTADORA DE ESCRITORIO</v>
          </cell>
        </row>
        <row r="231">
          <cell r="C231" t="str">
            <v>J4CRMN2</v>
          </cell>
          <cell r="D231" t="str">
            <v>LOCALIZAR</v>
          </cell>
          <cell r="E231" t="str">
            <v>EDIFICIO #1</v>
          </cell>
          <cell r="F231" t="str">
            <v>J4CRMN2</v>
          </cell>
          <cell r="H231" t="str">
            <v>COMPUTADORA DE ESCRITORIO</v>
          </cell>
        </row>
        <row r="232">
          <cell r="C232" t="str">
            <v>FRP3RP2</v>
          </cell>
          <cell r="D232" t="str">
            <v>AUTOCLAVE 1 (SISTEMA SRK)</v>
          </cell>
          <cell r="E232" t="str">
            <v>EDIFICIO #1</v>
          </cell>
          <cell r="F232" t="str">
            <v>FRP3RP2</v>
          </cell>
          <cell r="H232" t="str">
            <v>COMPUTADORA DE ESCRITORIO</v>
          </cell>
        </row>
        <row r="233">
          <cell r="C233" t="str">
            <v>8W3JRP2</v>
          </cell>
          <cell r="D233" t="str">
            <v>AUTOCLAVE 4 (SISTEMA SRK)</v>
          </cell>
          <cell r="E233" t="str">
            <v>EDIFICIO #1</v>
          </cell>
          <cell r="F233" t="str">
            <v>8W3JRP2</v>
          </cell>
          <cell r="H233" t="str">
            <v>COMPUTADORA DE ESCRITORIO</v>
          </cell>
        </row>
        <row r="234">
          <cell r="C234" t="str">
            <v>2CTKRP2</v>
          </cell>
          <cell r="D234" t="str">
            <v>LOCALIZAR</v>
          </cell>
          <cell r="E234" t="str">
            <v>EDIFICIO #1</v>
          </cell>
          <cell r="F234" t="str">
            <v>2CTKRP2</v>
          </cell>
          <cell r="H234" t="str">
            <v>COMPUTADORA DE ESCRITORIO</v>
          </cell>
        </row>
        <row r="235">
          <cell r="C235" t="str">
            <v>8W5HRP2</v>
          </cell>
          <cell r="D235" t="str">
            <v>LOCALIZAR</v>
          </cell>
          <cell r="E235" t="str">
            <v>EDIFICIO #1</v>
          </cell>
          <cell r="F235" t="str">
            <v>8W5HRP2</v>
          </cell>
          <cell r="H235" t="str">
            <v>COMPUTADORA DE ESCRITORIO</v>
          </cell>
        </row>
        <row r="236">
          <cell r="C236" t="str">
            <v>86Z9GK2</v>
          </cell>
          <cell r="D236" t="str">
            <v>LOCALIZAR</v>
          </cell>
          <cell r="E236" t="str">
            <v>EDIFICIO #1</v>
          </cell>
          <cell r="F236" t="str">
            <v>86Z9GK2</v>
          </cell>
          <cell r="H236" t="str">
            <v>COMPUTADORA DE ESCRITORIO</v>
          </cell>
        </row>
        <row r="237">
          <cell r="C237" t="str">
            <v>HP1ZQP2</v>
          </cell>
          <cell r="D237" t="str">
            <v>LOCALIZAR</v>
          </cell>
          <cell r="E237" t="str">
            <v>EDIFICIO #1</v>
          </cell>
          <cell r="F237" t="str">
            <v>HP1ZQP2</v>
          </cell>
          <cell r="H237" t="str">
            <v>COMPUTADORA DE ESCRITORIO</v>
          </cell>
        </row>
        <row r="238">
          <cell r="C238" t="str">
            <v>2CV80Q2</v>
          </cell>
          <cell r="D238" t="str">
            <v>LOCALIZAR</v>
          </cell>
          <cell r="E238" t="str">
            <v>EDIFICIO #1</v>
          </cell>
          <cell r="F238" t="str">
            <v>2CV80Q2</v>
          </cell>
          <cell r="H238" t="str">
            <v>COMPUTADORA DE ESCRITORIO</v>
          </cell>
        </row>
        <row r="239">
          <cell r="C239" t="str">
            <v>8W7GRP2</v>
          </cell>
          <cell r="D239" t="str">
            <v>LOCALIZAR</v>
          </cell>
          <cell r="E239" t="str">
            <v>EDIFICIO #1</v>
          </cell>
          <cell r="F239" t="str">
            <v>8W7GRP2</v>
          </cell>
          <cell r="H239" t="str">
            <v>COMPUTADORA DE ESCRITORIO</v>
          </cell>
        </row>
        <row r="240">
          <cell r="C240" t="str">
            <v>3HYH1N3</v>
          </cell>
          <cell r="D240" t="str">
            <v>LOCALIZAR</v>
          </cell>
          <cell r="E240" t="str">
            <v>EDIFICIO #1</v>
          </cell>
          <cell r="F240" t="str">
            <v>3HYH1N3</v>
          </cell>
          <cell r="G240" t="str">
            <v>AZUL</v>
          </cell>
          <cell r="H240" t="str">
            <v>COMPUTADORA DE ESCRITORIO</v>
          </cell>
        </row>
      </sheetData>
      <sheetData sheetId="2" refreshError="1">
        <row r="1">
          <cell r="A1" t="str">
            <v>Serial</v>
          </cell>
          <cell r="B1" t="str">
            <v>Marca</v>
          </cell>
          <cell r="C1" t="str">
            <v>Modelo</v>
          </cell>
          <cell r="D1" t="str">
            <v>Ubicación</v>
          </cell>
          <cell r="G1" t="str">
            <v>ZONA</v>
          </cell>
        </row>
        <row r="2">
          <cell r="A2" t="str">
            <v>13000500465</v>
          </cell>
          <cell r="B2" t="str">
            <v xml:space="preserve">INTERMEC </v>
          </cell>
          <cell r="C2" t="str">
            <v>EasyCoder 4440</v>
          </cell>
          <cell r="D2" t="e">
            <v>#N/A</v>
          </cell>
          <cell r="E2" t="e">
            <v>#N/A</v>
          </cell>
          <cell r="F2" t="e">
            <v>#N/A</v>
          </cell>
          <cell r="H2" t="str">
            <v>IMPRESORA TERMICA</v>
          </cell>
        </row>
        <row r="3">
          <cell r="A3" t="str">
            <v>29J120702684</v>
          </cell>
          <cell r="B3" t="str">
            <v>ZEBRA</v>
          </cell>
          <cell r="C3" t="str">
            <v>GK-420T</v>
          </cell>
          <cell r="D3" t="str">
            <v>CONECTORES 103 (SISTEMA SRK)</v>
          </cell>
          <cell r="E3" t="str">
            <v>EDIFICIO #1</v>
          </cell>
          <cell r="F3" t="str">
            <v>29J120702684</v>
          </cell>
          <cell r="G3" t="str">
            <v>VERDE</v>
          </cell>
          <cell r="H3" t="str">
            <v>IMPRESORA TERMICA</v>
          </cell>
        </row>
        <row r="4">
          <cell r="A4" t="str">
            <v>29J120702685</v>
          </cell>
          <cell r="B4" t="str">
            <v>ZEBRA</v>
          </cell>
          <cell r="C4" t="str">
            <v>GK-420T</v>
          </cell>
          <cell r="D4" t="str">
            <v>LOCALIZAR</v>
          </cell>
          <cell r="E4" t="str">
            <v>EDIFICIO #1</v>
          </cell>
          <cell r="F4" t="str">
            <v>29J120702685</v>
          </cell>
          <cell r="H4" t="str">
            <v>IMPRESORA TERMICA</v>
          </cell>
        </row>
        <row r="5">
          <cell r="A5" t="str">
            <v>29J120702686</v>
          </cell>
          <cell r="B5" t="str">
            <v>ZEBRA</v>
          </cell>
          <cell r="C5" t="str">
            <v>GK-420T</v>
          </cell>
          <cell r="D5" t="str">
            <v>LINEA 36 (SISTEMA SRK)</v>
          </cell>
          <cell r="E5" t="str">
            <v>EDIFICIO #3</v>
          </cell>
          <cell r="F5" t="str">
            <v>29J120702686</v>
          </cell>
          <cell r="G5" t="str">
            <v>VERDE</v>
          </cell>
          <cell r="H5" t="str">
            <v>IMPRESORA TERMICA</v>
          </cell>
        </row>
        <row r="6">
          <cell r="A6" t="str">
            <v>29J120702687</v>
          </cell>
          <cell r="B6" t="str">
            <v>ZEBRA</v>
          </cell>
          <cell r="C6" t="str">
            <v>GK-420T</v>
          </cell>
          <cell r="D6" t="str">
            <v>LINEA 09 (SISTEMA SRK)</v>
          </cell>
          <cell r="E6" t="str">
            <v>EDIFICIO #2</v>
          </cell>
          <cell r="F6" t="str">
            <v>29J120702687</v>
          </cell>
          <cell r="G6" t="str">
            <v>VERDE</v>
          </cell>
          <cell r="H6" t="str">
            <v>IMPRESORA TERMICA</v>
          </cell>
        </row>
        <row r="7">
          <cell r="A7" t="str">
            <v>29J120702688</v>
          </cell>
          <cell r="B7" t="str">
            <v>ZEBRA</v>
          </cell>
          <cell r="C7" t="str">
            <v>GK-420T</v>
          </cell>
          <cell r="D7" t="str">
            <v>LOCALIZAR</v>
          </cell>
          <cell r="E7" t="str">
            <v>EDIFICIO #1</v>
          </cell>
          <cell r="F7" t="str">
            <v>29J120702688</v>
          </cell>
          <cell r="G7" t="str">
            <v>VERDE</v>
          </cell>
          <cell r="H7" t="str">
            <v>IMPRESORA TERMICA</v>
          </cell>
        </row>
        <row r="8">
          <cell r="A8" t="str">
            <v>29J120702690</v>
          </cell>
          <cell r="B8" t="str">
            <v>ZEBRA</v>
          </cell>
          <cell r="C8" t="str">
            <v>GK-420T</v>
          </cell>
          <cell r="D8" t="str">
            <v>LOCALIZAR</v>
          </cell>
          <cell r="E8" t="str">
            <v>EDIFICIO #1</v>
          </cell>
          <cell r="F8" t="str">
            <v>29J120702690</v>
          </cell>
          <cell r="G8" t="str">
            <v>VERDE</v>
          </cell>
          <cell r="H8" t="str">
            <v>IMPRESORA TERMICA</v>
          </cell>
        </row>
        <row r="9">
          <cell r="A9" t="str">
            <v>29J120702692</v>
          </cell>
          <cell r="B9" t="str">
            <v>ZEBRA</v>
          </cell>
          <cell r="C9" t="str">
            <v>GK-420T</v>
          </cell>
          <cell r="D9" t="str">
            <v>LOCALIZAR</v>
          </cell>
          <cell r="E9" t="str">
            <v>EDIFICIO #1</v>
          </cell>
          <cell r="F9" t="str">
            <v>29J120702692</v>
          </cell>
          <cell r="H9" t="str">
            <v>IMPRESORA TERMICA</v>
          </cell>
        </row>
        <row r="10">
          <cell r="A10" t="str">
            <v>29J120702693</v>
          </cell>
          <cell r="B10" t="str">
            <v>ZEBRA</v>
          </cell>
          <cell r="C10" t="str">
            <v>GK-420T</v>
          </cell>
          <cell r="D10" t="str">
            <v>CORTE 2 (SISTEMA SRK)</v>
          </cell>
          <cell r="E10" t="str">
            <v>EDIFICIO #1</v>
          </cell>
          <cell r="F10" t="str">
            <v>29J120702693</v>
          </cell>
          <cell r="G10" t="str">
            <v>VERDE</v>
          </cell>
          <cell r="H10" t="str">
            <v>IMPRESORA TERMICA</v>
          </cell>
        </row>
        <row r="11">
          <cell r="A11" t="str">
            <v>29J120702694</v>
          </cell>
          <cell r="B11" t="str">
            <v>ZEBRA</v>
          </cell>
          <cell r="C11" t="str">
            <v>GK-420T</v>
          </cell>
          <cell r="D11" t="str">
            <v>LINEA 42 (SISTEMA SRK)</v>
          </cell>
          <cell r="E11" t="str">
            <v>EDIFICIO #2</v>
          </cell>
          <cell r="F11" t="str">
            <v>29J120702694</v>
          </cell>
          <cell r="G11" t="str">
            <v>VERDE</v>
          </cell>
          <cell r="H11" t="str">
            <v>IMPRESORA TERMICA</v>
          </cell>
        </row>
        <row r="12">
          <cell r="A12" t="str">
            <v>29J120702696</v>
          </cell>
          <cell r="B12" t="str">
            <v>ZEBRA</v>
          </cell>
          <cell r="C12" t="str">
            <v>GK-420T</v>
          </cell>
          <cell r="D12" t="str">
            <v>LINEA 26 (SISTEMA SRK)</v>
          </cell>
          <cell r="E12" t="str">
            <v>EDIFICIO #3</v>
          </cell>
          <cell r="F12" t="str">
            <v>29J120702696</v>
          </cell>
          <cell r="G12" t="str">
            <v>VERDE</v>
          </cell>
          <cell r="H12" t="str">
            <v>IMPRESORA TERMICA</v>
          </cell>
        </row>
        <row r="13">
          <cell r="A13" t="str">
            <v>29J120702697</v>
          </cell>
          <cell r="B13" t="str">
            <v>ZEBRA</v>
          </cell>
          <cell r="C13" t="str">
            <v>GK-420T</v>
          </cell>
          <cell r="D13" t="str">
            <v>LOCALIZAR</v>
          </cell>
          <cell r="E13" t="str">
            <v>EDIFICIO #1</v>
          </cell>
          <cell r="F13" t="str">
            <v>29J120702697</v>
          </cell>
          <cell r="H13" t="str">
            <v>IMPRESORA TERMICA</v>
          </cell>
        </row>
        <row r="14">
          <cell r="A14" t="str">
            <v>29J120702698</v>
          </cell>
          <cell r="B14" t="str">
            <v>ZEBRA</v>
          </cell>
          <cell r="C14" t="str">
            <v>GK-420T</v>
          </cell>
          <cell r="D14" t="str">
            <v>AUTOCLAVE 1 (SISTEMA SRK)</v>
          </cell>
          <cell r="E14" t="str">
            <v>EDIFICIO #1</v>
          </cell>
          <cell r="F14" t="str">
            <v>29J120702698</v>
          </cell>
          <cell r="H14" t="str">
            <v>IMPRESORA TERMICA</v>
          </cell>
        </row>
        <row r="15">
          <cell r="A15" t="str">
            <v>29J120702699</v>
          </cell>
          <cell r="B15" t="str">
            <v>ZEBRA</v>
          </cell>
          <cell r="C15" t="str">
            <v>GK-420T</v>
          </cell>
          <cell r="D15" t="str">
            <v>LOCALIZAR</v>
          </cell>
          <cell r="E15" t="str">
            <v>EDIFICIO #1</v>
          </cell>
          <cell r="F15" t="str">
            <v>29J120702699</v>
          </cell>
          <cell r="G15" t="str">
            <v>VERDE</v>
          </cell>
          <cell r="H15" t="str">
            <v>IMPRESORA TERMICA</v>
          </cell>
        </row>
        <row r="16">
          <cell r="A16" t="str">
            <v>29J120702702</v>
          </cell>
          <cell r="B16" t="str">
            <v>ZEBRA</v>
          </cell>
          <cell r="C16" t="str">
            <v>GK-420T</v>
          </cell>
          <cell r="D16" t="str">
            <v>LINEA 10 (SISTEMA SRK)</v>
          </cell>
          <cell r="E16" t="str">
            <v>EDIFICIO #2</v>
          </cell>
          <cell r="F16" t="str">
            <v>29J120702702</v>
          </cell>
          <cell r="G16" t="str">
            <v>VERDE</v>
          </cell>
          <cell r="H16" t="str">
            <v>IMPRESORA TERMICA</v>
          </cell>
        </row>
        <row r="17">
          <cell r="A17" t="str">
            <v>29J120702703</v>
          </cell>
          <cell r="B17" t="str">
            <v>ZEBRA</v>
          </cell>
          <cell r="C17" t="str">
            <v>GK-420T</v>
          </cell>
          <cell r="D17" t="str">
            <v>LOCALIZAR</v>
          </cell>
          <cell r="E17" t="str">
            <v>EDIFICIO #1</v>
          </cell>
          <cell r="F17" t="str">
            <v>29J120702703</v>
          </cell>
          <cell r="G17" t="str">
            <v>VERDE</v>
          </cell>
          <cell r="H17" t="str">
            <v>IMPRESORA TERMICA</v>
          </cell>
        </row>
        <row r="18">
          <cell r="A18" t="str">
            <v>29J120702706</v>
          </cell>
          <cell r="B18" t="str">
            <v>ZEBRA</v>
          </cell>
          <cell r="C18" t="str">
            <v>GK-420T</v>
          </cell>
          <cell r="D18" t="str">
            <v>CORTE DE FORRO (SISTEMA SRK)</v>
          </cell>
          <cell r="E18" t="str">
            <v>EDIFICIO #1</v>
          </cell>
          <cell r="F18" t="str">
            <v>29J120702706</v>
          </cell>
          <cell r="H18" t="str">
            <v>IMPRESORA TERMICA</v>
          </cell>
        </row>
        <row r="19">
          <cell r="A19" t="str">
            <v>29J120702708</v>
          </cell>
          <cell r="B19" t="str">
            <v>ZEBRA</v>
          </cell>
          <cell r="C19" t="str">
            <v>GK-420T</v>
          </cell>
          <cell r="D19" t="str">
            <v>LOCALIZAR</v>
          </cell>
          <cell r="E19" t="str">
            <v>EDIFICIO #1</v>
          </cell>
          <cell r="F19" t="str">
            <v>29J120702708</v>
          </cell>
          <cell r="G19" t="str">
            <v>VERDE</v>
          </cell>
          <cell r="H19" t="str">
            <v>IMPRESORA TERMICA</v>
          </cell>
        </row>
        <row r="20">
          <cell r="A20" t="str">
            <v>29J120702712</v>
          </cell>
          <cell r="B20" t="str">
            <v>ZEBRA</v>
          </cell>
          <cell r="C20" t="str">
            <v>GK-420T</v>
          </cell>
          <cell r="D20" t="str">
            <v>LOCALIZAR</v>
          </cell>
          <cell r="E20" t="str">
            <v>EDIFICIO #1</v>
          </cell>
          <cell r="F20" t="str">
            <v>29J120702712</v>
          </cell>
          <cell r="G20" t="str">
            <v>VERDE</v>
          </cell>
          <cell r="H20" t="str">
            <v>IMPRESORA TERMICA</v>
          </cell>
        </row>
        <row r="21">
          <cell r="A21" t="str">
            <v>29J120702715</v>
          </cell>
          <cell r="B21" t="str">
            <v>ZEBRA</v>
          </cell>
          <cell r="C21" t="str">
            <v>GK-420T</v>
          </cell>
          <cell r="D21" t="str">
            <v>LOCALIZAR</v>
          </cell>
          <cell r="E21" t="str">
            <v>EDIFICIO #1</v>
          </cell>
          <cell r="F21" t="str">
            <v>29J120702715</v>
          </cell>
          <cell r="G21" t="str">
            <v>VERDE</v>
          </cell>
          <cell r="H21" t="str">
            <v>IMPRESORA TERMICA</v>
          </cell>
        </row>
        <row r="22">
          <cell r="A22" t="str">
            <v>29J120702716</v>
          </cell>
          <cell r="B22" t="str">
            <v>ZEBRA</v>
          </cell>
          <cell r="C22" t="str">
            <v>GK-420T</v>
          </cell>
          <cell r="D22" t="str">
            <v>LOCALIZAR</v>
          </cell>
          <cell r="E22" t="str">
            <v>EDIFICIO #1</v>
          </cell>
          <cell r="F22" t="str">
            <v>29J120702716</v>
          </cell>
          <cell r="G22" t="str">
            <v>VERDE</v>
          </cell>
          <cell r="H22" t="str">
            <v>IMPRESORA TERMICA</v>
          </cell>
        </row>
        <row r="23">
          <cell r="A23" t="str">
            <v>29J120702718</v>
          </cell>
          <cell r="B23" t="str">
            <v>ZEBRA</v>
          </cell>
          <cell r="C23" t="str">
            <v>GK-420T</v>
          </cell>
          <cell r="D23" t="str">
            <v>LOCALIZAR</v>
          </cell>
          <cell r="E23" t="str">
            <v>EDIFICIO #1</v>
          </cell>
          <cell r="F23" t="str">
            <v>29J120702718</v>
          </cell>
          <cell r="G23" t="str">
            <v>VERDE</v>
          </cell>
          <cell r="H23" t="str">
            <v>IMPRESORA TERMICA</v>
          </cell>
        </row>
        <row r="24">
          <cell r="A24" t="str">
            <v>29J120702720</v>
          </cell>
          <cell r="B24" t="str">
            <v>ZEBRA</v>
          </cell>
          <cell r="C24" t="str">
            <v>GK-420T</v>
          </cell>
          <cell r="D24" t="str">
            <v>LOCALIZAR</v>
          </cell>
          <cell r="E24" t="str">
            <v>EDIFICIO #1</v>
          </cell>
          <cell r="F24" t="str">
            <v>29J120702720</v>
          </cell>
          <cell r="H24" t="str">
            <v>IMPRESORA TERMICA</v>
          </cell>
        </row>
        <row r="25">
          <cell r="A25" t="str">
            <v>29J120702721</v>
          </cell>
          <cell r="B25" t="str">
            <v>ZEBRA</v>
          </cell>
          <cell r="C25" t="str">
            <v>GK-420T</v>
          </cell>
          <cell r="D25" t="str">
            <v>HORNO 04 (SISTEMA SRK)</v>
          </cell>
          <cell r="E25" t="str">
            <v>EDIFICIO #2</v>
          </cell>
          <cell r="F25" t="str">
            <v>29J120702721</v>
          </cell>
          <cell r="G25" t="str">
            <v>VERDE</v>
          </cell>
          <cell r="H25" t="str">
            <v>IMPRESORA TERMICA</v>
          </cell>
        </row>
        <row r="26">
          <cell r="A26" t="str">
            <v>29J120702723</v>
          </cell>
          <cell r="B26" t="str">
            <v>ZEBRA</v>
          </cell>
          <cell r="C26" t="str">
            <v>GK-420T</v>
          </cell>
          <cell r="D26" t="str">
            <v>HORNO 03 (SISTEMA SRK)</v>
          </cell>
          <cell r="E26" t="str">
            <v>EDIFICIO #2</v>
          </cell>
          <cell r="F26" t="str">
            <v>29J120702723</v>
          </cell>
          <cell r="G26" t="str">
            <v>VERDE</v>
          </cell>
          <cell r="H26" t="str">
            <v>IMPRESORA TERMICA</v>
          </cell>
        </row>
        <row r="27">
          <cell r="A27" t="str">
            <v>29J131700274</v>
          </cell>
          <cell r="B27" t="str">
            <v>ZEBRA</v>
          </cell>
          <cell r="C27" t="str">
            <v>GK-420T</v>
          </cell>
          <cell r="D27" t="str">
            <v>LOCALIZAR</v>
          </cell>
          <cell r="E27" t="str">
            <v>EDIFICIO #1</v>
          </cell>
          <cell r="F27" t="str">
            <v>29J131700274</v>
          </cell>
          <cell r="G27" t="str">
            <v>VERDE</v>
          </cell>
          <cell r="H27" t="str">
            <v>IMPRESORA TERMICA</v>
          </cell>
        </row>
        <row r="28">
          <cell r="A28" t="str">
            <v>29J120702700</v>
          </cell>
          <cell r="B28" t="str">
            <v>ZEBRA</v>
          </cell>
          <cell r="C28" t="str">
            <v>GK-420T</v>
          </cell>
          <cell r="D28" t="str">
            <v>LOCALIZAR</v>
          </cell>
          <cell r="E28" t="str">
            <v>EDIFICIO #1</v>
          </cell>
          <cell r="F28" t="str">
            <v>29J120702700</v>
          </cell>
          <cell r="G28" t="str">
            <v>VERDE</v>
          </cell>
          <cell r="H28" t="str">
            <v>IMPRESORA TERMICA</v>
          </cell>
        </row>
        <row r="29">
          <cell r="A29" t="str">
            <v>29J120702704</v>
          </cell>
          <cell r="B29" t="str">
            <v>ZEBRA</v>
          </cell>
          <cell r="C29" t="str">
            <v>GK-420T</v>
          </cell>
          <cell r="D29" t="str">
            <v>LOCALIZAR</v>
          </cell>
          <cell r="E29" t="str">
            <v>EDIFICIO #1</v>
          </cell>
          <cell r="F29" t="str">
            <v>29J120702704</v>
          </cell>
          <cell r="G29" t="str">
            <v>VERDE</v>
          </cell>
          <cell r="H29" t="str">
            <v>IMPRESORA TERMICA</v>
          </cell>
        </row>
        <row r="30">
          <cell r="A30" t="str">
            <v>29J131300387</v>
          </cell>
          <cell r="B30" t="str">
            <v>ZEBRA</v>
          </cell>
          <cell r="C30" t="str">
            <v>GK-420T</v>
          </cell>
          <cell r="D30" t="str">
            <v>LOCALIZAR</v>
          </cell>
          <cell r="E30" t="str">
            <v>EDIFICIO #1</v>
          </cell>
          <cell r="F30" t="str">
            <v>29J131300387</v>
          </cell>
          <cell r="H30" t="str">
            <v>IMPRESORA TERMICA</v>
          </cell>
        </row>
        <row r="31">
          <cell r="A31" t="str">
            <v>29J132200105</v>
          </cell>
          <cell r="B31" t="str">
            <v>ZEBRA</v>
          </cell>
          <cell r="C31" t="str">
            <v>GK-420T</v>
          </cell>
          <cell r="D31" t="str">
            <v>LOCALIZAR</v>
          </cell>
          <cell r="E31" t="str">
            <v>EDIFICIO #1</v>
          </cell>
          <cell r="F31" t="str">
            <v>29J132200105</v>
          </cell>
          <cell r="G31" t="str">
            <v>VERDE</v>
          </cell>
          <cell r="H31" t="str">
            <v>IMPRESORA TERMICA</v>
          </cell>
        </row>
        <row r="32">
          <cell r="A32" t="str">
            <v>29J132400773</v>
          </cell>
          <cell r="B32" t="str">
            <v>ZEBRA</v>
          </cell>
          <cell r="C32" t="str">
            <v>GK-420T</v>
          </cell>
          <cell r="D32" t="str">
            <v>LOCALIZAR</v>
          </cell>
          <cell r="E32" t="str">
            <v>EDIFICIO #1</v>
          </cell>
          <cell r="F32" t="str">
            <v>29J132400773</v>
          </cell>
          <cell r="H32" t="str">
            <v>IMPRESORA TERMICA</v>
          </cell>
        </row>
        <row r="33">
          <cell r="A33" t="str">
            <v>29J134702571</v>
          </cell>
          <cell r="B33" t="str">
            <v>ZEBRA</v>
          </cell>
          <cell r="C33" t="str">
            <v>GK-420T</v>
          </cell>
          <cell r="D33" t="str">
            <v>LINEA 32 (SISTEMA SRK)</v>
          </cell>
          <cell r="E33" t="str">
            <v>EDIFICIO #2</v>
          </cell>
          <cell r="F33" t="str">
            <v>29J134702571</v>
          </cell>
          <cell r="G33" t="str">
            <v>VERDE</v>
          </cell>
          <cell r="H33" t="str">
            <v>IMPRESORA TERMICA</v>
          </cell>
        </row>
        <row r="34">
          <cell r="A34" t="str">
            <v>29J141901826</v>
          </cell>
          <cell r="B34" t="str">
            <v>ZEBRA</v>
          </cell>
          <cell r="C34" t="str">
            <v>GK-420T</v>
          </cell>
          <cell r="D34" t="str">
            <v>LOCALIZAR</v>
          </cell>
          <cell r="E34" t="str">
            <v>EDIFICIO #1</v>
          </cell>
          <cell r="F34" t="str">
            <v>29J141901826</v>
          </cell>
          <cell r="G34" t="str">
            <v>VERDE</v>
          </cell>
          <cell r="H34" t="str">
            <v>IMPRESORA TERMICA</v>
          </cell>
        </row>
        <row r="35">
          <cell r="A35" t="str">
            <v>29J141901928</v>
          </cell>
          <cell r="B35" t="str">
            <v>ZEBRA</v>
          </cell>
          <cell r="C35" t="str">
            <v>GK-420T</v>
          </cell>
          <cell r="D35" t="str">
            <v>LOCALIZAR</v>
          </cell>
          <cell r="E35" t="str">
            <v>EDIFICIO #1</v>
          </cell>
          <cell r="F35" t="str">
            <v>29J141901928</v>
          </cell>
          <cell r="G35" t="str">
            <v>VERDE</v>
          </cell>
          <cell r="H35" t="str">
            <v>IMPRESORA TERMICA</v>
          </cell>
        </row>
        <row r="36">
          <cell r="A36" t="str">
            <v>29J144101459</v>
          </cell>
          <cell r="B36" t="str">
            <v>ZEBRA</v>
          </cell>
          <cell r="C36" t="str">
            <v>GK-420T</v>
          </cell>
          <cell r="D36" t="str">
            <v>LOCALIZAR</v>
          </cell>
          <cell r="E36" t="str">
            <v>EDIFICIO #1</v>
          </cell>
          <cell r="F36" t="str">
            <v>29J144101459</v>
          </cell>
          <cell r="G36" t="str">
            <v>VERDE</v>
          </cell>
          <cell r="H36" t="str">
            <v>IMPRESORA TERMICA</v>
          </cell>
        </row>
        <row r="37">
          <cell r="A37" t="str">
            <v>29J144200451</v>
          </cell>
          <cell r="B37" t="str">
            <v>ZEBRA</v>
          </cell>
          <cell r="C37" t="str">
            <v>GK-420T</v>
          </cell>
          <cell r="D37" t="str">
            <v>LINEA 11 (SISTEMA SRK)</v>
          </cell>
          <cell r="E37" t="str">
            <v>EDIFICIO #2</v>
          </cell>
          <cell r="F37" t="str">
            <v>29J144200451</v>
          </cell>
          <cell r="H37" t="str">
            <v>IMPRESORA TERMICA</v>
          </cell>
        </row>
        <row r="38">
          <cell r="A38" t="str">
            <v>29J144200434</v>
          </cell>
          <cell r="B38" t="str">
            <v>ZEBRA</v>
          </cell>
          <cell r="C38" t="str">
            <v>GK-420T</v>
          </cell>
          <cell r="D38" t="str">
            <v>LOCALIZAR</v>
          </cell>
          <cell r="E38" t="str">
            <v>EDIFICIO #1</v>
          </cell>
          <cell r="F38" t="str">
            <v>29J144200434</v>
          </cell>
          <cell r="G38" t="str">
            <v>VERDE</v>
          </cell>
          <cell r="H38" t="str">
            <v>IMPRESORA TERMICA</v>
          </cell>
        </row>
        <row r="39">
          <cell r="A39" t="str">
            <v>29J152601797</v>
          </cell>
          <cell r="B39" t="str">
            <v>ZEBRA</v>
          </cell>
          <cell r="C39" t="str">
            <v>GK-420T</v>
          </cell>
          <cell r="D39" t="str">
            <v>LOCALIZAR</v>
          </cell>
          <cell r="E39" t="str">
            <v>EDIFICIO #1</v>
          </cell>
          <cell r="F39" t="str">
            <v>29J152601797</v>
          </cell>
          <cell r="G39" t="str">
            <v>VERDE</v>
          </cell>
          <cell r="H39" t="str">
            <v>IMPRESORA TERMICA</v>
          </cell>
        </row>
        <row r="40">
          <cell r="A40" t="str">
            <v>29J152601820</v>
          </cell>
          <cell r="B40" t="str">
            <v>ZEBRA</v>
          </cell>
          <cell r="C40" t="str">
            <v>GK-420T</v>
          </cell>
          <cell r="D40" t="str">
            <v>LOCALIZAR</v>
          </cell>
          <cell r="E40" t="str">
            <v>EDIFICIO #1</v>
          </cell>
          <cell r="F40" t="str">
            <v>29J152601820</v>
          </cell>
          <cell r="G40" t="str">
            <v>VERDE</v>
          </cell>
          <cell r="H40" t="str">
            <v>IMPRESORA TERMICA</v>
          </cell>
        </row>
        <row r="41">
          <cell r="A41" t="str">
            <v>29J151600034</v>
          </cell>
          <cell r="B41" t="str">
            <v>ZEBRA</v>
          </cell>
          <cell r="C41" t="str">
            <v>GK-420T</v>
          </cell>
          <cell r="D41" t="str">
            <v>ACM 201 (SISTEMA SRK)</v>
          </cell>
          <cell r="E41" t="str">
            <v>EDIFICIO #3</v>
          </cell>
          <cell r="F41" t="str">
            <v>29J151600034</v>
          </cell>
          <cell r="G41" t="str">
            <v>VERDE</v>
          </cell>
          <cell r="H41" t="str">
            <v>IMPRESORA TERMICA</v>
          </cell>
        </row>
        <row r="42">
          <cell r="A42" t="str">
            <v>29J151802137</v>
          </cell>
          <cell r="B42" t="str">
            <v>ZEBRA</v>
          </cell>
          <cell r="C42" t="str">
            <v>GK-420T</v>
          </cell>
          <cell r="D42" t="str">
            <v>AUTOCLAVE 4 (SISTEMA SRK)</v>
          </cell>
          <cell r="E42" t="str">
            <v>EDIFICIO #1</v>
          </cell>
          <cell r="F42" t="str">
            <v>29J151802137</v>
          </cell>
          <cell r="G42" t="str">
            <v>VERDE</v>
          </cell>
          <cell r="H42" t="str">
            <v>IMPRESORA TERMICA</v>
          </cell>
        </row>
        <row r="43">
          <cell r="A43" t="str">
            <v>29J151802591</v>
          </cell>
          <cell r="B43" t="str">
            <v>ZEBRA</v>
          </cell>
          <cell r="C43" t="str">
            <v>GK-420T</v>
          </cell>
          <cell r="D43" t="str">
            <v>LOCALIZAR</v>
          </cell>
          <cell r="E43" t="str">
            <v>EDIFICIO #1</v>
          </cell>
          <cell r="F43" t="str">
            <v>29J151802591</v>
          </cell>
          <cell r="G43" t="str">
            <v>VERDE</v>
          </cell>
          <cell r="H43" t="str">
            <v>IMPRESORA TERMICA</v>
          </cell>
        </row>
        <row r="44">
          <cell r="A44" t="str">
            <v>29J152304122</v>
          </cell>
          <cell r="B44" t="str">
            <v>ZEBRA</v>
          </cell>
          <cell r="C44" t="str">
            <v>GK-420T</v>
          </cell>
          <cell r="D44" t="str">
            <v>LINEA 23 (SISTEMA SRK)</v>
          </cell>
          <cell r="E44" t="str">
            <v>EDIFICIO #2</v>
          </cell>
          <cell r="F44" t="str">
            <v>29J152304122</v>
          </cell>
          <cell r="G44" t="str">
            <v>VERDE</v>
          </cell>
          <cell r="H44" t="str">
            <v>IMPRESORA TERMICA</v>
          </cell>
        </row>
        <row r="45">
          <cell r="A45" t="str">
            <v>29J144200463</v>
          </cell>
          <cell r="B45" t="str">
            <v>ZEBRA</v>
          </cell>
          <cell r="C45" t="str">
            <v>GK-420T</v>
          </cell>
          <cell r="D45" t="str">
            <v>LOCALIZAR</v>
          </cell>
          <cell r="E45" t="str">
            <v>EDIFICIO #1</v>
          </cell>
          <cell r="F45" t="str">
            <v>29J144200463</v>
          </cell>
          <cell r="G45" t="str">
            <v>VERDE</v>
          </cell>
          <cell r="H45" t="str">
            <v>IMPRESORA TERMICA</v>
          </cell>
        </row>
        <row r="46">
          <cell r="A46" t="str">
            <v>29J144501238</v>
          </cell>
          <cell r="B46" t="str">
            <v>ZEBRA</v>
          </cell>
          <cell r="C46" t="str">
            <v>GK-420T</v>
          </cell>
          <cell r="D46" t="str">
            <v>LOCALIZAR</v>
          </cell>
          <cell r="E46" t="str">
            <v>EDIFICIO #1</v>
          </cell>
          <cell r="F46" t="str">
            <v>29J144501238</v>
          </cell>
          <cell r="G46" t="str">
            <v>VERDE</v>
          </cell>
          <cell r="H46" t="str">
            <v>IMPRESORA TERMICA</v>
          </cell>
        </row>
        <row r="47">
          <cell r="A47" t="str">
            <v>29J152401761</v>
          </cell>
          <cell r="B47" t="str">
            <v>ZEBRA</v>
          </cell>
          <cell r="C47" t="str">
            <v>GK-420T</v>
          </cell>
          <cell r="D47" t="str">
            <v>LOCALIZAR</v>
          </cell>
          <cell r="E47" t="str">
            <v>EDIFICIO #1</v>
          </cell>
          <cell r="F47" t="str">
            <v>29J152401761</v>
          </cell>
          <cell r="G47" t="str">
            <v>VERDE</v>
          </cell>
          <cell r="H47" t="str">
            <v>IMPRESORA TERMICA</v>
          </cell>
        </row>
        <row r="48">
          <cell r="A48" t="str">
            <v>29J152401765</v>
          </cell>
          <cell r="B48" t="str">
            <v>ZEBRA</v>
          </cell>
          <cell r="C48" t="str">
            <v>GK-420T</v>
          </cell>
          <cell r="D48" t="str">
            <v>LOCALIZAR</v>
          </cell>
          <cell r="E48" t="str">
            <v>EDIFICIO #1</v>
          </cell>
          <cell r="F48" t="str">
            <v>29J152401765</v>
          </cell>
          <cell r="G48" t="str">
            <v>VERDE</v>
          </cell>
          <cell r="H48" t="str">
            <v>IMPRESORA TERMICA</v>
          </cell>
        </row>
        <row r="49">
          <cell r="A49" t="str">
            <v>29J152401783</v>
          </cell>
          <cell r="B49" t="str">
            <v>ZEBRA</v>
          </cell>
          <cell r="C49" t="str">
            <v>GK-420T</v>
          </cell>
          <cell r="D49" t="str">
            <v>LINEA 18 (SISTEMA SRK)</v>
          </cell>
          <cell r="E49" t="str">
            <v>EDIFICIO #2</v>
          </cell>
          <cell r="F49" t="str">
            <v>29J152401783</v>
          </cell>
          <cell r="G49" t="str">
            <v>VERDE</v>
          </cell>
          <cell r="H49" t="str">
            <v>IMPRESORA TERMICA</v>
          </cell>
        </row>
        <row r="50">
          <cell r="A50" t="str">
            <v>29J152401805</v>
          </cell>
          <cell r="B50" t="str">
            <v>ZEBRA</v>
          </cell>
          <cell r="C50" t="str">
            <v>GK-420T</v>
          </cell>
          <cell r="D50" t="str">
            <v>CAMARAS 1 (SISTEMA SRK)</v>
          </cell>
          <cell r="E50" t="str">
            <v>EDIFICIO #1</v>
          </cell>
          <cell r="F50" t="str">
            <v>29J152401805</v>
          </cell>
          <cell r="G50" t="str">
            <v>VERDE</v>
          </cell>
          <cell r="H50" t="str">
            <v>IMPRESORA TERMICA</v>
          </cell>
        </row>
        <row r="51">
          <cell r="A51" t="str">
            <v>29J152401756</v>
          </cell>
          <cell r="B51" t="str">
            <v>ZEBRA</v>
          </cell>
          <cell r="C51" t="str">
            <v>GK-420T</v>
          </cell>
          <cell r="D51" t="str">
            <v>LOCALIZAR</v>
          </cell>
          <cell r="E51" t="str">
            <v>EDIFICIO #1</v>
          </cell>
          <cell r="F51" t="str">
            <v>29J152401756</v>
          </cell>
          <cell r="G51" t="str">
            <v>VERDE</v>
          </cell>
          <cell r="H51" t="str">
            <v>IMPRESORA TERMICA</v>
          </cell>
        </row>
        <row r="52">
          <cell r="A52" t="str">
            <v>29J153101352</v>
          </cell>
          <cell r="B52" t="str">
            <v>ZEBRA</v>
          </cell>
          <cell r="C52" t="str">
            <v>GK-420T</v>
          </cell>
          <cell r="D52" t="str">
            <v>CONECTORES 104 (SISTEMA SRK)</v>
          </cell>
          <cell r="E52" t="str">
            <v>EDIFICIO #1</v>
          </cell>
          <cell r="F52" t="str">
            <v>29J153101352</v>
          </cell>
          <cell r="G52" t="str">
            <v>VERDE</v>
          </cell>
          <cell r="H52" t="str">
            <v>IMPRESORA TERMICA</v>
          </cell>
        </row>
        <row r="53">
          <cell r="A53" t="str">
            <v>29J153202203</v>
          </cell>
          <cell r="B53" t="str">
            <v>ZEBRA</v>
          </cell>
          <cell r="C53" t="str">
            <v>GK-420T</v>
          </cell>
          <cell r="D53" t="str">
            <v>LINEA 19 (SISTEMA SRK)</v>
          </cell>
          <cell r="E53" t="str">
            <v>EDIFICIO #2</v>
          </cell>
          <cell r="F53" t="str">
            <v>29J153202203</v>
          </cell>
          <cell r="G53" t="str">
            <v>VERDE</v>
          </cell>
          <cell r="H53" t="str">
            <v>IMPRESORA TERMICA</v>
          </cell>
        </row>
        <row r="54">
          <cell r="A54" t="str">
            <v>29J153202221</v>
          </cell>
          <cell r="B54" t="str">
            <v>ZEBRA</v>
          </cell>
          <cell r="C54" t="str">
            <v>GK-420T</v>
          </cell>
          <cell r="D54" t="str">
            <v>LOCALIZAR</v>
          </cell>
          <cell r="E54" t="str">
            <v>EDIFICIO #1</v>
          </cell>
          <cell r="F54" t="str">
            <v>29J153202221</v>
          </cell>
          <cell r="G54" t="str">
            <v>VERDE</v>
          </cell>
          <cell r="H54" t="str">
            <v>IMPRESORA TERMICA</v>
          </cell>
        </row>
        <row r="55">
          <cell r="A55" t="str">
            <v>29J153202344</v>
          </cell>
          <cell r="B55" t="str">
            <v>ZEBRA</v>
          </cell>
          <cell r="C55" t="str">
            <v>GK-420T</v>
          </cell>
          <cell r="D55" t="str">
            <v>CAMPANA Y PLASMA (SISTEMA SRK)</v>
          </cell>
          <cell r="E55" t="str">
            <v>EDIFICIO #1</v>
          </cell>
          <cell r="F55" t="str">
            <v>29J153202344</v>
          </cell>
          <cell r="G55" t="str">
            <v>VERDE</v>
          </cell>
          <cell r="H55" t="str">
            <v>IMPRESORA TERMICA</v>
          </cell>
        </row>
        <row r="56">
          <cell r="A56" t="str">
            <v>29J152401748</v>
          </cell>
          <cell r="B56" t="str">
            <v>ZEBRA</v>
          </cell>
          <cell r="C56" t="str">
            <v>GK-420T</v>
          </cell>
          <cell r="D56" t="str">
            <v>LOCALIZAR</v>
          </cell>
          <cell r="E56" t="str">
            <v>EDIFICIO #1</v>
          </cell>
          <cell r="F56" t="str">
            <v>29J152401748</v>
          </cell>
          <cell r="G56" t="str">
            <v>VERDE</v>
          </cell>
          <cell r="H56" t="str">
            <v>IMPRESORA TERMICA</v>
          </cell>
        </row>
        <row r="57">
          <cell r="A57" t="str">
            <v>29J152401795</v>
          </cell>
          <cell r="B57" t="str">
            <v>ZEBRA</v>
          </cell>
          <cell r="C57" t="str">
            <v>GK-420T</v>
          </cell>
          <cell r="D57" t="str">
            <v>LOCALIZAR</v>
          </cell>
          <cell r="E57" t="str">
            <v>EDIFICIO #1</v>
          </cell>
          <cell r="F57" t="str">
            <v>29J152401795</v>
          </cell>
          <cell r="G57" t="str">
            <v>VERDE</v>
          </cell>
          <cell r="H57" t="str">
            <v>IMPRESORA TERMICA</v>
          </cell>
        </row>
        <row r="58">
          <cell r="A58" t="str">
            <v>29J152401808</v>
          </cell>
          <cell r="B58" t="str">
            <v>ZEBRA</v>
          </cell>
          <cell r="C58" t="str">
            <v>GK-420T</v>
          </cell>
          <cell r="D58" t="str">
            <v>LOCALIZAR</v>
          </cell>
          <cell r="E58" t="str">
            <v>EDIFICIO #1</v>
          </cell>
          <cell r="F58" t="str">
            <v>29J152401808</v>
          </cell>
          <cell r="G58" t="str">
            <v>VERDE</v>
          </cell>
          <cell r="H58" t="str">
            <v>IMPRESORA TERMICA</v>
          </cell>
        </row>
        <row r="59">
          <cell r="A59" t="str">
            <v>29J153302551</v>
          </cell>
          <cell r="B59" t="str">
            <v xml:space="preserve">ZEBRA </v>
          </cell>
          <cell r="C59" t="str">
            <v>GK-420T</v>
          </cell>
          <cell r="D59" t="str">
            <v>LINEA 302 (SISTEMA SRK)</v>
          </cell>
          <cell r="E59" t="str">
            <v>EDIFICIO #2</v>
          </cell>
          <cell r="F59" t="str">
            <v>29J153302551</v>
          </cell>
          <cell r="G59" t="str">
            <v>VERDE</v>
          </cell>
          <cell r="H59" t="str">
            <v>IMPRESORA TERMICA</v>
          </cell>
        </row>
        <row r="60">
          <cell r="A60" t="str">
            <v>29J152401674</v>
          </cell>
          <cell r="B60" t="str">
            <v>ZEBRA</v>
          </cell>
          <cell r="C60" t="str">
            <v>GK420T</v>
          </cell>
          <cell r="D60" t="str">
            <v>LOCALIZAR</v>
          </cell>
          <cell r="E60" t="str">
            <v>EDIFICIO #1</v>
          </cell>
          <cell r="F60" t="str">
            <v>29J152401674</v>
          </cell>
          <cell r="G60" t="str">
            <v>VERDE</v>
          </cell>
          <cell r="H60" t="str">
            <v>IMPRESORA TERMICA</v>
          </cell>
        </row>
        <row r="61">
          <cell r="A61" t="str">
            <v>29J152401694</v>
          </cell>
          <cell r="B61" t="str">
            <v>ZEBRA</v>
          </cell>
          <cell r="C61" t="str">
            <v>GK420T</v>
          </cell>
          <cell r="D61" t="str">
            <v>LOCALIZAR</v>
          </cell>
          <cell r="E61" t="str">
            <v>EDIFICIO #1</v>
          </cell>
          <cell r="F61" t="str">
            <v>29J152401694</v>
          </cell>
          <cell r="G61" t="str">
            <v>VERDE</v>
          </cell>
          <cell r="H61" t="str">
            <v>IMPRESORA TERMICA</v>
          </cell>
        </row>
        <row r="62">
          <cell r="A62" t="str">
            <v>29J153302418</v>
          </cell>
          <cell r="B62" t="str">
            <v>ZEBRA</v>
          </cell>
          <cell r="C62" t="str">
            <v>GK420T</v>
          </cell>
          <cell r="D62" t="str">
            <v>DIPPING CAMPANA Y PLASMA (SISTEMA SRK)</v>
          </cell>
          <cell r="E62" t="str">
            <v>EDIFICIO #1</v>
          </cell>
          <cell r="F62" t="str">
            <v>29J153302418</v>
          </cell>
          <cell r="G62" t="str">
            <v>VERDE</v>
          </cell>
          <cell r="H62" t="str">
            <v>IMPRESORA TERMICA</v>
          </cell>
        </row>
        <row r="63">
          <cell r="A63" t="str">
            <v>29J161101829</v>
          </cell>
          <cell r="B63" t="str">
            <v>ZEBRA</v>
          </cell>
          <cell r="C63" t="str">
            <v>GK420T</v>
          </cell>
          <cell r="D63" t="str">
            <v>LINEA 24 (SISTEMA SRK)</v>
          </cell>
          <cell r="E63" t="str">
            <v>EDIFICIO #2</v>
          </cell>
          <cell r="F63" t="str">
            <v>29J161101829</v>
          </cell>
          <cell r="G63" t="str">
            <v>VERDE</v>
          </cell>
          <cell r="H63" t="str">
            <v>IMPRESORA TERMICA</v>
          </cell>
        </row>
        <row r="64">
          <cell r="A64" t="str">
            <v>29J161101840</v>
          </cell>
          <cell r="B64" t="str">
            <v>ZEBRA</v>
          </cell>
          <cell r="C64" t="str">
            <v>GK420T</v>
          </cell>
          <cell r="D64" t="str">
            <v>PROTECTOR 5 (SISTEMA SRK)</v>
          </cell>
          <cell r="E64" t="str">
            <v>EDIFICIO #2</v>
          </cell>
          <cell r="F64" t="str">
            <v>29J161101840</v>
          </cell>
          <cell r="G64" t="str">
            <v>VERDE</v>
          </cell>
          <cell r="H64" t="str">
            <v>IMPRESORA TERMICA</v>
          </cell>
        </row>
        <row r="65">
          <cell r="A65" t="str">
            <v>29J161101841</v>
          </cell>
          <cell r="B65" t="str">
            <v>ZEBRA</v>
          </cell>
          <cell r="C65" t="str">
            <v>GK420T</v>
          </cell>
          <cell r="D65" t="str">
            <v>LOCALIZAR</v>
          </cell>
          <cell r="E65" t="str">
            <v>EDIFICIO #1</v>
          </cell>
          <cell r="F65" t="str">
            <v>29J161101841</v>
          </cell>
          <cell r="G65" t="str">
            <v>VERDE</v>
          </cell>
          <cell r="H65" t="str">
            <v>IMPRESORA TERMICA</v>
          </cell>
        </row>
        <row r="66">
          <cell r="A66" t="str">
            <v>29J161101842</v>
          </cell>
          <cell r="B66" t="str">
            <v>ZEBRA</v>
          </cell>
          <cell r="C66" t="str">
            <v>GK420T</v>
          </cell>
          <cell r="D66" t="str">
            <v>AUTOCLAVE 5 (SISTEMA SRK)</v>
          </cell>
          <cell r="E66" t="str">
            <v>EDIFICIO #1</v>
          </cell>
          <cell r="F66" t="str">
            <v>29J161101842</v>
          </cell>
          <cell r="G66" t="str">
            <v>VERDE</v>
          </cell>
          <cell r="H66" t="str">
            <v>IMPRESORA TERMICA</v>
          </cell>
        </row>
        <row r="67">
          <cell r="A67" t="str">
            <v>29J161101854</v>
          </cell>
          <cell r="B67" t="str">
            <v>ZEBRA</v>
          </cell>
          <cell r="C67" t="str">
            <v>GK420T</v>
          </cell>
          <cell r="D67" t="str">
            <v>HORNO 12 (SISTEMA SRK)</v>
          </cell>
          <cell r="E67" t="str">
            <v>EDIFICIO #2</v>
          </cell>
          <cell r="F67" t="str">
            <v>29J161101854</v>
          </cell>
          <cell r="G67" t="str">
            <v>VERDE</v>
          </cell>
          <cell r="H67" t="str">
            <v>IMPRESORA TERMICA</v>
          </cell>
        </row>
        <row r="68">
          <cell r="A68" t="str">
            <v>29J161101860</v>
          </cell>
          <cell r="B68" t="str">
            <v>ZEBRA</v>
          </cell>
          <cell r="C68" t="str">
            <v>GK420T</v>
          </cell>
          <cell r="D68" t="str">
            <v>LOCALIZAR</v>
          </cell>
          <cell r="E68" t="str">
            <v>EDIFICIO #1</v>
          </cell>
          <cell r="F68" t="str">
            <v>29J161101860</v>
          </cell>
          <cell r="H68" t="str">
            <v>IMPRESORA TERMICA</v>
          </cell>
        </row>
        <row r="69">
          <cell r="A69" t="str">
            <v>29J163002047</v>
          </cell>
          <cell r="B69" t="str">
            <v>ZEBRA</v>
          </cell>
          <cell r="C69" t="str">
            <v>GK420T</v>
          </cell>
          <cell r="D69" t="str">
            <v>LOCALIZAR</v>
          </cell>
          <cell r="E69" t="str">
            <v>EDIFICIO #1</v>
          </cell>
          <cell r="F69" t="str">
            <v>29J163002047</v>
          </cell>
          <cell r="G69" t="str">
            <v>VERDE</v>
          </cell>
          <cell r="H69" t="str">
            <v>IMPRESORA TERMICA</v>
          </cell>
        </row>
        <row r="70">
          <cell r="A70" t="str">
            <v>29J163002068</v>
          </cell>
          <cell r="B70" t="str">
            <v>ZEBRA</v>
          </cell>
          <cell r="C70" t="str">
            <v>GK420T</v>
          </cell>
          <cell r="D70" t="str">
            <v>LOCALIZAR</v>
          </cell>
          <cell r="E70" t="str">
            <v>EDIFICIO #1</v>
          </cell>
          <cell r="F70" t="str">
            <v>29J163002068</v>
          </cell>
          <cell r="G70" t="str">
            <v>VERDE</v>
          </cell>
          <cell r="H70" t="str">
            <v>IMPRESORA TERMICA</v>
          </cell>
        </row>
        <row r="71">
          <cell r="A71" t="str">
            <v>29J162900967</v>
          </cell>
          <cell r="B71" t="str">
            <v>ZEBRA</v>
          </cell>
          <cell r="C71" t="str">
            <v>GK420T</v>
          </cell>
          <cell r="D71" t="str">
            <v>LOCALIZAR</v>
          </cell>
          <cell r="E71" t="str">
            <v>EDIFICIO #1</v>
          </cell>
          <cell r="F71" t="str">
            <v>29J162900967</v>
          </cell>
          <cell r="G71" t="str">
            <v>VERDE</v>
          </cell>
          <cell r="H71" t="str">
            <v>IMPRESORA TERMICA</v>
          </cell>
        </row>
        <row r="72">
          <cell r="A72" t="str">
            <v>29J163002054</v>
          </cell>
          <cell r="B72" t="str">
            <v>ZEBRA</v>
          </cell>
          <cell r="C72" t="str">
            <v>GK420T</v>
          </cell>
          <cell r="D72" t="str">
            <v>LOCALIZAR</v>
          </cell>
          <cell r="E72" t="str">
            <v>EDIFICIO #1</v>
          </cell>
          <cell r="F72" t="str">
            <v>29J163002054</v>
          </cell>
          <cell r="G72" t="str">
            <v>VERDE</v>
          </cell>
          <cell r="H72" t="str">
            <v>IMPRESORA TERMICA</v>
          </cell>
        </row>
        <row r="73">
          <cell r="A73" t="str">
            <v>29J164202209</v>
          </cell>
          <cell r="B73" t="str">
            <v>ZEBRA</v>
          </cell>
          <cell r="C73" t="str">
            <v>GK420T</v>
          </cell>
          <cell r="D73" t="str">
            <v>PROTECTOR A (SISTEMA SRK)</v>
          </cell>
          <cell r="E73" t="str">
            <v>EDIFICIO #2</v>
          </cell>
          <cell r="F73" t="str">
            <v>29J164202209</v>
          </cell>
          <cell r="G73" t="str">
            <v>VERDE</v>
          </cell>
          <cell r="H73" t="str">
            <v>IMPRESORA TERMICA</v>
          </cell>
        </row>
        <row r="74">
          <cell r="A74" t="str">
            <v>29J164202229</v>
          </cell>
          <cell r="B74" t="str">
            <v>ZEBRA</v>
          </cell>
          <cell r="C74" t="str">
            <v>GK420T</v>
          </cell>
          <cell r="D74" t="str">
            <v>LOCALIZAR</v>
          </cell>
          <cell r="E74" t="str">
            <v>EDIFICIO #1</v>
          </cell>
          <cell r="F74" t="str">
            <v>29J164202229</v>
          </cell>
          <cell r="H74" t="str">
            <v>IMPRESORA TERMICA</v>
          </cell>
        </row>
        <row r="75">
          <cell r="A75" t="str">
            <v>29J162900960</v>
          </cell>
          <cell r="B75" t="str">
            <v>ZEBRA</v>
          </cell>
          <cell r="C75" t="str">
            <v>GK420T</v>
          </cell>
          <cell r="D75" t="str">
            <v>LOCALIZAR</v>
          </cell>
          <cell r="E75" t="str">
            <v>EDIFICIO #1</v>
          </cell>
          <cell r="F75" t="str">
            <v>29J162900960</v>
          </cell>
          <cell r="G75" t="str">
            <v>VERDE</v>
          </cell>
          <cell r="H75" t="str">
            <v>IMPRESORA TERMICA</v>
          </cell>
        </row>
        <row r="76">
          <cell r="A76" t="str">
            <v>29J161300041</v>
          </cell>
          <cell r="B76" t="str">
            <v>ZEBRA</v>
          </cell>
          <cell r="C76" t="str">
            <v>GK420T</v>
          </cell>
          <cell r="D76" t="str">
            <v>LOCALIZAR</v>
          </cell>
          <cell r="E76" t="str">
            <v>EDIFICIO #1</v>
          </cell>
          <cell r="F76" t="str">
            <v>29J161300041</v>
          </cell>
          <cell r="G76" t="str">
            <v>VERDE</v>
          </cell>
          <cell r="H76" t="str">
            <v>IMPRESORA TERMICA</v>
          </cell>
        </row>
        <row r="77">
          <cell r="A77" t="str">
            <v>29J161602084</v>
          </cell>
          <cell r="B77" t="str">
            <v>ZEBRA</v>
          </cell>
          <cell r="C77" t="str">
            <v>GK420T</v>
          </cell>
          <cell r="D77" t="str">
            <v>LOCALIZAR</v>
          </cell>
          <cell r="E77" t="str">
            <v>EDIFICIO #1</v>
          </cell>
          <cell r="F77" t="str">
            <v>29J161602084</v>
          </cell>
          <cell r="H77" t="str">
            <v>IMPRESORA TERMICA</v>
          </cell>
        </row>
        <row r="78">
          <cell r="A78" t="str">
            <v>29J161900095</v>
          </cell>
          <cell r="B78" t="str">
            <v>ZEBRA</v>
          </cell>
          <cell r="C78" t="str">
            <v>GK420T</v>
          </cell>
          <cell r="D78" t="str">
            <v>LOCALIZAR</v>
          </cell>
          <cell r="E78" t="str">
            <v>EDIFICIO #1</v>
          </cell>
          <cell r="F78" t="str">
            <v>29J161900095</v>
          </cell>
          <cell r="G78" t="str">
            <v>VERDE</v>
          </cell>
          <cell r="H78" t="str">
            <v>IMPRESORA TERMICA</v>
          </cell>
        </row>
        <row r="79">
          <cell r="A79" t="str">
            <v>29J161900172</v>
          </cell>
          <cell r="B79" t="str">
            <v>ZEBRA</v>
          </cell>
          <cell r="C79" t="str">
            <v>GK420T</v>
          </cell>
          <cell r="D79" t="str">
            <v>LOCALIZAR</v>
          </cell>
          <cell r="E79" t="str">
            <v>EDIFICIO #1</v>
          </cell>
          <cell r="F79" t="str">
            <v>29J161900172</v>
          </cell>
          <cell r="G79" t="str">
            <v>VERDE</v>
          </cell>
          <cell r="H79" t="str">
            <v>IMPRESORA TERMICA</v>
          </cell>
        </row>
        <row r="80">
          <cell r="A80" t="str">
            <v>29J161900202</v>
          </cell>
          <cell r="B80" t="str">
            <v>ZEBRA</v>
          </cell>
          <cell r="C80" t="str">
            <v>GK420T</v>
          </cell>
          <cell r="D80" t="str">
            <v>AUTOCLAVE 3 (SISTEMA SRK)</v>
          </cell>
          <cell r="E80" t="str">
            <v>EDIFICIO #1</v>
          </cell>
          <cell r="F80" t="str">
            <v>29J161900202</v>
          </cell>
          <cell r="G80" t="str">
            <v>VERDE</v>
          </cell>
          <cell r="H80" t="str">
            <v>IMPRESORA TERMICA</v>
          </cell>
        </row>
        <row r="81">
          <cell r="A81" t="str">
            <v>29J172000160</v>
          </cell>
          <cell r="B81" t="str">
            <v>ZEBRA</v>
          </cell>
          <cell r="C81" t="str">
            <v>GK420T</v>
          </cell>
          <cell r="D81" t="str">
            <v>LOCALIZAR</v>
          </cell>
          <cell r="E81" t="str">
            <v>EDIFICIO #1</v>
          </cell>
          <cell r="F81" t="str">
            <v>29J172000160</v>
          </cell>
          <cell r="G81" t="str">
            <v>VERDE</v>
          </cell>
          <cell r="H81" t="str">
            <v>IMPRESORA TERMICA</v>
          </cell>
        </row>
        <row r="82">
          <cell r="A82" t="str">
            <v>29J172900024</v>
          </cell>
          <cell r="B82" t="str">
            <v>ZEBRA</v>
          </cell>
          <cell r="C82" t="str">
            <v>GK420T</v>
          </cell>
          <cell r="D82" t="str">
            <v>LINEA 14 (SISTEMA SRK)</v>
          </cell>
          <cell r="E82" t="str">
            <v>EDIFICIO #3</v>
          </cell>
          <cell r="F82" t="str">
            <v>29J172900024</v>
          </cell>
          <cell r="G82" t="str">
            <v>VERDE</v>
          </cell>
          <cell r="H82" t="str">
            <v>IMPRESORA TERMICA</v>
          </cell>
        </row>
        <row r="83">
          <cell r="A83" t="str">
            <v>29J172900028</v>
          </cell>
          <cell r="B83" t="str">
            <v>ZEBRA</v>
          </cell>
          <cell r="C83" t="str">
            <v>GK420T</v>
          </cell>
          <cell r="D83" t="str">
            <v>LOCALIZAR</v>
          </cell>
          <cell r="E83" t="str">
            <v>EDIFICIO #1</v>
          </cell>
          <cell r="F83" t="str">
            <v>29J172900028</v>
          </cell>
          <cell r="G83" t="str">
            <v>VERDE</v>
          </cell>
          <cell r="H83" t="str">
            <v>IMPRESORA TERMICA</v>
          </cell>
        </row>
        <row r="84">
          <cell r="A84" t="str">
            <v>29J172900032</v>
          </cell>
          <cell r="B84" t="str">
            <v>ZEBRA</v>
          </cell>
          <cell r="C84" t="str">
            <v>GK420T</v>
          </cell>
          <cell r="D84" t="str">
            <v>LOCALIZAR</v>
          </cell>
          <cell r="E84" t="str">
            <v>EDIFICIO #1</v>
          </cell>
          <cell r="F84" t="str">
            <v>29J172900032</v>
          </cell>
          <cell r="G84" t="str">
            <v>VERDE</v>
          </cell>
          <cell r="H84" t="str">
            <v>IMPRESORA TERMICA</v>
          </cell>
        </row>
        <row r="85">
          <cell r="A85" t="str">
            <v>29J172802113</v>
          </cell>
          <cell r="B85" t="str">
            <v>ZEBRA</v>
          </cell>
          <cell r="C85" t="str">
            <v>GK420T</v>
          </cell>
          <cell r="D85" t="str">
            <v>LOCALIZAR</v>
          </cell>
          <cell r="E85" t="str">
            <v>EDIFICIO #1</v>
          </cell>
          <cell r="F85" t="str">
            <v>29J172802113</v>
          </cell>
          <cell r="G85" t="str">
            <v>VERDE</v>
          </cell>
          <cell r="H85" t="str">
            <v>IMPRESORA TERMICA</v>
          </cell>
        </row>
        <row r="86">
          <cell r="A86" t="str">
            <v>29J173101382</v>
          </cell>
          <cell r="B86" t="str">
            <v>ZEBRA</v>
          </cell>
          <cell r="C86" t="str">
            <v>GK420T</v>
          </cell>
          <cell r="D86" t="str">
            <v>LOCALIZAR</v>
          </cell>
          <cell r="E86" t="str">
            <v>EDIFICIO #1</v>
          </cell>
          <cell r="F86" t="str">
            <v>29J173101382</v>
          </cell>
          <cell r="H86" t="str">
            <v>IMPRESORA TERMICA</v>
          </cell>
        </row>
        <row r="87">
          <cell r="A87" t="str">
            <v>29J172802193</v>
          </cell>
          <cell r="B87" t="str">
            <v>ZEBRA</v>
          </cell>
          <cell r="C87" t="str">
            <v>GK420T</v>
          </cell>
          <cell r="D87" t="str">
            <v>LINEA 32 PRE-ENSAMBLE (SISTEMA SRK)</v>
          </cell>
          <cell r="E87" t="str">
            <v>EDIFICIO #2</v>
          </cell>
          <cell r="F87" t="str">
            <v>29J172802193</v>
          </cell>
          <cell r="G87" t="str">
            <v>VERDE</v>
          </cell>
          <cell r="H87" t="str">
            <v>IMPRESORA TERMICA</v>
          </cell>
        </row>
        <row r="88">
          <cell r="A88" t="str">
            <v>29J173101383</v>
          </cell>
          <cell r="B88" t="str">
            <v>ZEBRA</v>
          </cell>
          <cell r="C88" t="str">
            <v>GK420T</v>
          </cell>
          <cell r="D88" t="str">
            <v>LOCALIZAR</v>
          </cell>
          <cell r="E88" t="str">
            <v>EDIFICIO #1</v>
          </cell>
          <cell r="F88" t="str">
            <v>29J173101383</v>
          </cell>
          <cell r="G88" t="str">
            <v>VERDE</v>
          </cell>
          <cell r="H88" t="str">
            <v>IMPRESORA TERMICA</v>
          </cell>
        </row>
        <row r="89">
          <cell r="A89" t="str">
            <v>2305E120530</v>
          </cell>
          <cell r="B89" t="str">
            <v>TOSHIBA</v>
          </cell>
          <cell r="C89" t="str">
            <v>B-SA4TM-GS12-QM-R</v>
          </cell>
          <cell r="D89" t="str">
            <v>SITE (STOCK)</v>
          </cell>
          <cell r="E89" t="str">
            <v>EDIFICIO #2</v>
          </cell>
          <cell r="F89" t="str">
            <v>2305E120530</v>
          </cell>
          <cell r="H89" t="str">
            <v>IMPRESORA TERMICA</v>
          </cell>
        </row>
        <row r="90">
          <cell r="A90" t="str">
            <v>2305E120532</v>
          </cell>
          <cell r="B90" t="str">
            <v>TOSHIBA</v>
          </cell>
          <cell r="C90" t="str">
            <v>B-SA4TM-GS12-QM-R</v>
          </cell>
          <cell r="D90" t="str">
            <v>LOCALIZAR</v>
          </cell>
          <cell r="E90" t="str">
            <v>EDIFICIO #1</v>
          </cell>
          <cell r="F90" t="str">
            <v>2305E120532</v>
          </cell>
          <cell r="H90" t="str">
            <v>IMPRESORA TERMICA</v>
          </cell>
        </row>
        <row r="91">
          <cell r="A91" t="str">
            <v>2305H120487</v>
          </cell>
          <cell r="B91" t="str">
            <v>TOSHIBA</v>
          </cell>
          <cell r="C91" t="str">
            <v>B-SA4TM-GS12-QM-R</v>
          </cell>
          <cell r="D91" t="str">
            <v>LOCALIZAR</v>
          </cell>
          <cell r="E91" t="str">
            <v>EDIFICIO #1</v>
          </cell>
          <cell r="F91" t="str">
            <v>2305H120487</v>
          </cell>
          <cell r="H91" t="str">
            <v>IMPRESORA TERMICA</v>
          </cell>
        </row>
        <row r="92">
          <cell r="A92" t="str">
            <v>2305H120502</v>
          </cell>
          <cell r="B92" t="str">
            <v>TOSHIBA</v>
          </cell>
          <cell r="C92" t="str">
            <v>B-SA4TM-GS12-QM-R</v>
          </cell>
          <cell r="D92" t="str">
            <v>LOCALIZAR</v>
          </cell>
          <cell r="E92" t="str">
            <v>EDIFICIO #1</v>
          </cell>
          <cell r="F92" t="str">
            <v>2305H120502</v>
          </cell>
          <cell r="H92" t="str">
            <v>IMPRESORA TERMICA</v>
          </cell>
        </row>
        <row r="93">
          <cell r="A93" t="str">
            <v>2317T120620</v>
          </cell>
          <cell r="B93" t="str">
            <v>TOSHIBA</v>
          </cell>
          <cell r="C93" t="str">
            <v>B-SA4TM-GS12-QM-R</v>
          </cell>
          <cell r="D93" t="str">
            <v>SITE (STOCK)</v>
          </cell>
          <cell r="E93" t="str">
            <v>EDIFICIO #2</v>
          </cell>
          <cell r="F93" t="str">
            <v>2317T120620</v>
          </cell>
          <cell r="H93" t="str">
            <v>IMPRESORA TERMICA</v>
          </cell>
        </row>
        <row r="94">
          <cell r="A94" t="str">
            <v>2317T120621</v>
          </cell>
          <cell r="B94" t="str">
            <v>TOSHIBA</v>
          </cell>
          <cell r="C94" t="str">
            <v>B-SA4TM-GS12-QM-R</v>
          </cell>
          <cell r="D94" t="str">
            <v>LOCALIZAR</v>
          </cell>
          <cell r="E94" t="str">
            <v>EDIFICIO #1</v>
          </cell>
          <cell r="F94" t="str">
            <v>2317T120621</v>
          </cell>
          <cell r="H94" t="str">
            <v>IMPRESORA TERMICA</v>
          </cell>
        </row>
        <row r="95">
          <cell r="A95" t="str">
            <v>2317T120633</v>
          </cell>
          <cell r="B95" t="str">
            <v>TOSHIBA</v>
          </cell>
          <cell r="C95" t="str">
            <v>B-SA4TM-GS12-QM-R</v>
          </cell>
          <cell r="D95" t="str">
            <v>LOCALIZAR</v>
          </cell>
          <cell r="E95" t="str">
            <v>EDIFICIO #1</v>
          </cell>
          <cell r="F95" t="str">
            <v>2317T120633</v>
          </cell>
          <cell r="H95" t="str">
            <v>IMPRESORA TERMICA</v>
          </cell>
        </row>
        <row r="96">
          <cell r="A96" t="str">
            <v>29J180501422</v>
          </cell>
          <cell r="B96" t="str">
            <v>ZEBRA</v>
          </cell>
          <cell r="C96" t="str">
            <v>GK420T</v>
          </cell>
          <cell r="D96" t="str">
            <v>LOCALIZAR</v>
          </cell>
          <cell r="E96" t="str">
            <v>EDIFICIO #1</v>
          </cell>
          <cell r="F96" t="str">
            <v>29J180501422</v>
          </cell>
          <cell r="H96" t="str">
            <v>IMPRESORA TERMICA</v>
          </cell>
        </row>
        <row r="97">
          <cell r="A97" t="str">
            <v>29J181600780</v>
          </cell>
          <cell r="B97" t="str">
            <v>ZEBRA</v>
          </cell>
          <cell r="C97" t="str">
            <v>GK420T</v>
          </cell>
          <cell r="D97" t="str">
            <v>CONECTORES 105 (SISTEMA SRK)</v>
          </cell>
          <cell r="E97" t="str">
            <v>EDIFICIO #1</v>
          </cell>
          <cell r="F97" t="str">
            <v>29J181600780</v>
          </cell>
          <cell r="G97" t="str">
            <v>VERDE</v>
          </cell>
          <cell r="H97" t="str">
            <v>IMPRESORA TERMICA</v>
          </cell>
        </row>
        <row r="98">
          <cell r="A98" t="str">
            <v>29J181600865</v>
          </cell>
          <cell r="B98" t="str">
            <v>ZEBRA</v>
          </cell>
          <cell r="C98" t="str">
            <v>GK420T</v>
          </cell>
          <cell r="D98" t="str">
            <v>HORNO 13 (SISTEMA SRK)</v>
          </cell>
          <cell r="E98" t="str">
            <v>EDIFICIO #2</v>
          </cell>
          <cell r="F98" t="str">
            <v>29J181600865</v>
          </cell>
          <cell r="G98" t="str">
            <v>VERDE</v>
          </cell>
          <cell r="H98" t="str">
            <v>IMPRESORA TERMICA</v>
          </cell>
        </row>
        <row r="99">
          <cell r="A99" t="str">
            <v>29J182901172</v>
          </cell>
          <cell r="B99" t="str">
            <v>ZEBRA</v>
          </cell>
          <cell r="C99" t="str">
            <v>GK420T</v>
          </cell>
          <cell r="D99" t="str">
            <v>CORTE 1 (SISTEMA SRK)</v>
          </cell>
          <cell r="E99" t="str">
            <v>EDIFICIO #1</v>
          </cell>
          <cell r="F99" t="str">
            <v>29J182901172</v>
          </cell>
          <cell r="G99" t="str">
            <v>VERDE</v>
          </cell>
          <cell r="H99" t="str">
            <v>IMPRESORA TERMICA</v>
          </cell>
        </row>
        <row r="100">
          <cell r="A100" t="str">
            <v>29J190400048</v>
          </cell>
          <cell r="B100" t="str">
            <v>ZEBRA</v>
          </cell>
          <cell r="C100" t="str">
            <v>GK420T</v>
          </cell>
          <cell r="D100" t="str">
            <v>LOCALIZAR</v>
          </cell>
          <cell r="E100" t="str">
            <v>EDIFICIO #1</v>
          </cell>
          <cell r="F100" t="str">
            <v>29J190400048</v>
          </cell>
          <cell r="G100" t="str">
            <v>VERDE</v>
          </cell>
          <cell r="H100" t="str">
            <v>IMPRESORA TERMICA</v>
          </cell>
        </row>
        <row r="101">
          <cell r="A101" t="str">
            <v>29J190900224</v>
          </cell>
          <cell r="B101" t="str">
            <v>ZEBRA</v>
          </cell>
          <cell r="C101" t="str">
            <v>GK420T</v>
          </cell>
          <cell r="D101" t="str">
            <v>LOCALIZAR</v>
          </cell>
          <cell r="E101" t="str">
            <v>EDIFICIO #1</v>
          </cell>
          <cell r="F101" t="str">
            <v>29J190900224</v>
          </cell>
          <cell r="G101" t="str">
            <v>VERDE</v>
          </cell>
          <cell r="H101" t="str">
            <v>IMPRESORA TERMICA</v>
          </cell>
        </row>
        <row r="102">
          <cell r="A102" t="str">
            <v>29J190900273</v>
          </cell>
          <cell r="B102" t="str">
            <v>ZEBRA</v>
          </cell>
          <cell r="C102" t="str">
            <v>GK420T</v>
          </cell>
          <cell r="D102" t="str">
            <v>LOCALIZAR</v>
          </cell>
          <cell r="E102" t="str">
            <v>EDIFICIO #1</v>
          </cell>
          <cell r="F102" t="str">
            <v>29J190900273</v>
          </cell>
          <cell r="G102" t="str">
            <v>VERDE</v>
          </cell>
          <cell r="H102" t="str">
            <v>IMPRESORA TERMICA</v>
          </cell>
        </row>
        <row r="103">
          <cell r="A103" t="str">
            <v>29J190263176</v>
          </cell>
          <cell r="B103" t="str">
            <v>ZEBRA</v>
          </cell>
          <cell r="C103" t="str">
            <v>GK-420T</v>
          </cell>
          <cell r="D103" t="str">
            <v>LOCALIZAR</v>
          </cell>
          <cell r="E103" t="str">
            <v>EDIFICIO #1</v>
          </cell>
          <cell r="F103" t="str">
            <v>29J190263176</v>
          </cell>
          <cell r="H103" t="str">
            <v>IMPRESORA TERMICA</v>
          </cell>
        </row>
        <row r="104">
          <cell r="A104" t="str">
            <v>29J194603700</v>
          </cell>
          <cell r="B104" t="str">
            <v>ZEBRA</v>
          </cell>
          <cell r="C104" t="str">
            <v>GK420T</v>
          </cell>
          <cell r="D104" t="str">
            <v>LOCALIZAR</v>
          </cell>
          <cell r="E104" t="str">
            <v>EDIFICIO #1</v>
          </cell>
          <cell r="F104" t="str">
            <v>29J194603700</v>
          </cell>
          <cell r="G104" t="str">
            <v>VERDE</v>
          </cell>
          <cell r="H104" t="str">
            <v>IMPRESORA TERMICA</v>
          </cell>
        </row>
        <row r="105">
          <cell r="A105" t="str">
            <v>29J194900756</v>
          </cell>
          <cell r="B105" t="str">
            <v>ZEBRA</v>
          </cell>
          <cell r="C105" t="str">
            <v>GK420T</v>
          </cell>
          <cell r="D105" t="str">
            <v>HORNO 15 (SISTEMA SRK)</v>
          </cell>
          <cell r="E105" t="str">
            <v>EDIFICIO #2</v>
          </cell>
          <cell r="F105" t="str">
            <v>29J194900756</v>
          </cell>
          <cell r="G105" t="str">
            <v>VERDE</v>
          </cell>
          <cell r="H105" t="str">
            <v>IMPRESORA TERMICA</v>
          </cell>
        </row>
        <row r="106">
          <cell r="A106" t="str">
            <v>29J202400487</v>
          </cell>
          <cell r="B106" t="str">
            <v>ZEBRA</v>
          </cell>
          <cell r="C106" t="str">
            <v>GK420T</v>
          </cell>
          <cell r="D106" t="str">
            <v>LOCALIZAR</v>
          </cell>
          <cell r="E106" t="str">
            <v>EDIFICIO #1</v>
          </cell>
          <cell r="F106" t="str">
            <v>29J202400487</v>
          </cell>
          <cell r="G106" t="str">
            <v>VERDE</v>
          </cell>
          <cell r="H106" t="str">
            <v>IMPRESORA TERMICA</v>
          </cell>
        </row>
        <row r="107">
          <cell r="A107" t="str">
            <v>29J202400501</v>
          </cell>
          <cell r="B107" t="str">
            <v>ZEBRA</v>
          </cell>
          <cell r="C107" t="str">
            <v>GK420T</v>
          </cell>
          <cell r="D107" t="str">
            <v>BODEGA PT (PC(LIDER))</v>
          </cell>
          <cell r="E107" t="str">
            <v>EDIFICIO BPT</v>
          </cell>
          <cell r="F107" t="str">
            <v>29J202400501</v>
          </cell>
          <cell r="H107" t="str">
            <v>IMPRESORA TERMICA</v>
          </cell>
        </row>
        <row r="108">
          <cell r="A108" t="str">
            <v>D6J220400105</v>
          </cell>
          <cell r="B108" t="str">
            <v>ZEBRA</v>
          </cell>
          <cell r="C108" t="str">
            <v>ZD421</v>
          </cell>
          <cell r="D108" t="str">
            <v>LINEA 29 (SISTEMA SRK)</v>
          </cell>
          <cell r="E108" t="str">
            <v>EDIFICIO #2</v>
          </cell>
          <cell r="F108" t="str">
            <v>D6J220400105</v>
          </cell>
          <cell r="G108" t="str">
            <v>VERDE</v>
          </cell>
          <cell r="H108" t="str">
            <v>IMPRESORA TERMICA</v>
          </cell>
        </row>
        <row r="109">
          <cell r="A109" t="str">
            <v>D6J220304565</v>
          </cell>
          <cell r="B109" t="str">
            <v>ZEBRA</v>
          </cell>
          <cell r="C109" t="str">
            <v>ZD421</v>
          </cell>
          <cell r="D109" t="str">
            <v>LOCALIZAR</v>
          </cell>
          <cell r="E109" t="str">
            <v>EDIFICIO #1</v>
          </cell>
          <cell r="F109" t="str">
            <v>D6J220304565</v>
          </cell>
          <cell r="G109" t="str">
            <v>VERDE</v>
          </cell>
          <cell r="H109" t="str">
            <v>IMPRESORA TERMICA</v>
          </cell>
        </row>
        <row r="110">
          <cell r="A110" t="str">
            <v>D6N224051186</v>
          </cell>
          <cell r="B110" t="str">
            <v>ZEBRA</v>
          </cell>
          <cell r="C110" t="str">
            <v>ZD421</v>
          </cell>
          <cell r="D110" t="str">
            <v>LOCALIZAR</v>
          </cell>
          <cell r="E110" t="str">
            <v>EDIFICIO #1</v>
          </cell>
          <cell r="F110" t="str">
            <v>D6N224051186</v>
          </cell>
          <cell r="H110" t="str">
            <v>IMPRESORA TERMICA</v>
          </cell>
        </row>
        <row r="111">
          <cell r="A111" t="str">
            <v>D6N231250269</v>
          </cell>
          <cell r="B111" t="str">
            <v>ZEBRA</v>
          </cell>
          <cell r="C111" t="str">
            <v>ZD421T</v>
          </cell>
          <cell r="D111" t="str">
            <v>LINEA TN 3 (SISTEMA SRK)</v>
          </cell>
          <cell r="E111" t="str">
            <v>EDIFICIO #2</v>
          </cell>
          <cell r="F111" t="str">
            <v>D6N231250269</v>
          </cell>
          <cell r="G111" t="str">
            <v>VERDE</v>
          </cell>
          <cell r="H111" t="str">
            <v>IMPRESORA TERMICA</v>
          </cell>
        </row>
        <row r="112">
          <cell r="A112" t="str">
            <v>D6N231250270</v>
          </cell>
          <cell r="B112" t="str">
            <v>ZEBRA</v>
          </cell>
          <cell r="C112" t="str">
            <v>ZD421T</v>
          </cell>
          <cell r="D112" t="str">
            <v>LOCALIZAR</v>
          </cell>
          <cell r="E112" t="str">
            <v>EDIFICIO #1</v>
          </cell>
          <cell r="F112" t="str">
            <v>D6N231250270</v>
          </cell>
          <cell r="G112" t="str">
            <v>VERDE</v>
          </cell>
          <cell r="H112" t="str">
            <v>IMPRESORA TERMICA</v>
          </cell>
        </row>
        <row r="113">
          <cell r="A113" t="str">
            <v>D6J223007032</v>
          </cell>
          <cell r="B113" t="str">
            <v>ZEBRA</v>
          </cell>
          <cell r="C113" t="str">
            <v>ZD421T</v>
          </cell>
          <cell r="D113" t="str">
            <v>LINEA 40 HENN (SISTEMA SRK)</v>
          </cell>
          <cell r="E113" t="str">
            <v>EDIFICIO #2</v>
          </cell>
          <cell r="F113" t="str">
            <v>D6J223007032</v>
          </cell>
          <cell r="G113" t="str">
            <v>VERDE</v>
          </cell>
          <cell r="H113" t="str">
            <v>IMPRESORA TERMICA</v>
          </cell>
        </row>
        <row r="114">
          <cell r="A114" t="str">
            <v>D6N231350833</v>
          </cell>
          <cell r="B114" t="str">
            <v>ZEBRA</v>
          </cell>
          <cell r="C114" t="str">
            <v>ZD421T</v>
          </cell>
          <cell r="D114" t="str">
            <v>LOCALIZAR</v>
          </cell>
          <cell r="E114" t="str">
            <v>EDIFICIO #1</v>
          </cell>
          <cell r="F114" t="str">
            <v>D6N231350833</v>
          </cell>
          <cell r="G114" t="str">
            <v>VERDE</v>
          </cell>
          <cell r="H114" t="str">
            <v>IMPRESORA TERMICA</v>
          </cell>
        </row>
        <row r="115">
          <cell r="A115" t="str">
            <v>D6N231350722</v>
          </cell>
          <cell r="B115" t="str">
            <v>ZEBRA</v>
          </cell>
          <cell r="C115" t="str">
            <v>ZD421T</v>
          </cell>
          <cell r="D115" t="str">
            <v>LOCALIZAR</v>
          </cell>
          <cell r="E115" t="str">
            <v>EDIFICIO #1</v>
          </cell>
          <cell r="F115" t="str">
            <v>D6N231350722</v>
          </cell>
          <cell r="G115" t="str">
            <v>VERDE</v>
          </cell>
          <cell r="H115" t="str">
            <v>IMPRESORA TERMICA</v>
          </cell>
        </row>
        <row r="116">
          <cell r="A116" t="str">
            <v>D6N231350616</v>
          </cell>
          <cell r="B116" t="str">
            <v>ZEBRA</v>
          </cell>
          <cell r="C116" t="str">
            <v>ZD421T</v>
          </cell>
          <cell r="D116" t="str">
            <v>QA (LIDERES DE AUDITORIA 200%)</v>
          </cell>
          <cell r="E116" t="str">
            <v>EDIFICIO #2</v>
          </cell>
          <cell r="F116" t="str">
            <v>D6N231350616</v>
          </cell>
          <cell r="H116" t="str">
            <v>IMPRESORA TERMICA</v>
          </cell>
        </row>
        <row r="117">
          <cell r="A117" t="str">
            <v>D6N231350829</v>
          </cell>
          <cell r="B117" t="str">
            <v>ZEBRA</v>
          </cell>
          <cell r="C117" t="str">
            <v>ZD421T</v>
          </cell>
          <cell r="D117" t="str">
            <v>LOCALIZAR</v>
          </cell>
          <cell r="E117" t="str">
            <v>EDIFICIO #1</v>
          </cell>
          <cell r="F117" t="str">
            <v>D6N231350829</v>
          </cell>
          <cell r="G117" t="str">
            <v>VERDE</v>
          </cell>
          <cell r="H117" t="str">
            <v>IMPRESORA TERMICA</v>
          </cell>
        </row>
        <row r="118">
          <cell r="A118" t="str">
            <v>D6J223301687</v>
          </cell>
          <cell r="B118" t="str">
            <v>ZEBRA</v>
          </cell>
          <cell r="C118" t="str">
            <v>ZD421T</v>
          </cell>
          <cell r="D118" t="str">
            <v>LOCALIZAR</v>
          </cell>
          <cell r="E118" t="str">
            <v>EDIFICIO #1</v>
          </cell>
          <cell r="F118" t="str">
            <v>D6J223301687</v>
          </cell>
          <cell r="H118" t="str">
            <v>IMPRESORA TERMICA</v>
          </cell>
        </row>
        <row r="119">
          <cell r="A119" t="str">
            <v>D6J223301693</v>
          </cell>
          <cell r="B119" t="str">
            <v>ZEBRA</v>
          </cell>
          <cell r="C119" t="str">
            <v>ZD421T</v>
          </cell>
          <cell r="D119" t="str">
            <v>LOCALIZAR</v>
          </cell>
          <cell r="E119" t="str">
            <v>EDIFICIO #1</v>
          </cell>
          <cell r="F119" t="str">
            <v>D6J223301693</v>
          </cell>
          <cell r="G119" t="str">
            <v>VERDE</v>
          </cell>
          <cell r="H119" t="str">
            <v>IMPRESORA TERMICA</v>
          </cell>
        </row>
        <row r="120">
          <cell r="A120" t="str">
            <v>D6J231311835</v>
          </cell>
          <cell r="B120" t="str">
            <v>ZEBRA</v>
          </cell>
          <cell r="C120" t="str">
            <v>ZD421T</v>
          </cell>
          <cell r="D120" t="str">
            <v>LOCALIZAR</v>
          </cell>
          <cell r="E120" t="str">
            <v>EDIFICIO #1</v>
          </cell>
          <cell r="F120" t="str">
            <v>D6J231311835</v>
          </cell>
          <cell r="G120" t="str">
            <v>VERDE</v>
          </cell>
          <cell r="H120" t="str">
            <v>IMPRESORA TERMICA</v>
          </cell>
        </row>
        <row r="121">
          <cell r="A121" t="str">
            <v>D6N232651080</v>
          </cell>
          <cell r="B121" t="str">
            <v>ZEBRA</v>
          </cell>
          <cell r="C121" t="str">
            <v>ZD421T</v>
          </cell>
          <cell r="D121" t="str">
            <v>LOCALIZAR</v>
          </cell>
          <cell r="E121" t="str">
            <v>EDIFICIO #1</v>
          </cell>
          <cell r="F121" t="str">
            <v>D6N232651080</v>
          </cell>
          <cell r="G121" t="str">
            <v>VERDE</v>
          </cell>
          <cell r="H121" t="str">
            <v>IMPRESORA TERMICA</v>
          </cell>
        </row>
        <row r="122">
          <cell r="A122" t="str">
            <v>D6N232750713</v>
          </cell>
          <cell r="B122" t="str">
            <v>ZEBRA</v>
          </cell>
          <cell r="C122" t="str">
            <v>ZD421T</v>
          </cell>
          <cell r="D122" t="str">
            <v>LINEA 12 (SISTEMA SRK)</v>
          </cell>
          <cell r="E122" t="str">
            <v>EDIFICIO #2</v>
          </cell>
          <cell r="F122" t="str">
            <v>D6N232750713</v>
          </cell>
          <cell r="G122" t="str">
            <v>VERDE</v>
          </cell>
          <cell r="H122" t="str">
            <v>IMPRESORA TERMICA</v>
          </cell>
        </row>
        <row r="123">
          <cell r="A123" t="str">
            <v>D6N233550291</v>
          </cell>
          <cell r="B123" t="str">
            <v>ZEBRA</v>
          </cell>
          <cell r="C123" t="str">
            <v>ZD421T</v>
          </cell>
          <cell r="D123" t="str">
            <v>LOCALIZAR</v>
          </cell>
          <cell r="E123" t="str">
            <v>EDIFICIO #1</v>
          </cell>
          <cell r="F123" t="str">
            <v>D6N233550291</v>
          </cell>
          <cell r="G123" t="str">
            <v>VERDE</v>
          </cell>
          <cell r="H123" t="str">
            <v>IMPRESORA TERMICA</v>
          </cell>
        </row>
        <row r="124">
          <cell r="A124" t="str">
            <v>D6N233550270</v>
          </cell>
          <cell r="B124" t="str">
            <v>ZEBRA</v>
          </cell>
          <cell r="C124" t="str">
            <v>ZD421T</v>
          </cell>
          <cell r="D124" t="str">
            <v>BORDES (SISTEMA SRK)</v>
          </cell>
          <cell r="E124" t="str">
            <v>EDIFICIO #1</v>
          </cell>
          <cell r="F124" t="str">
            <v>D6N233550270</v>
          </cell>
          <cell r="G124" t="str">
            <v>VERDE</v>
          </cell>
          <cell r="H124" t="str">
            <v>IMPRESORA TERMICA</v>
          </cell>
        </row>
        <row r="125">
          <cell r="A125" t="str">
            <v>D6N233550278</v>
          </cell>
          <cell r="B125" t="str">
            <v>ZEBRA</v>
          </cell>
          <cell r="C125" t="str">
            <v>ZD421T</v>
          </cell>
          <cell r="D125" t="str">
            <v>LOCALIZAR</v>
          </cell>
          <cell r="E125" t="str">
            <v>EDIFICIO #1</v>
          </cell>
          <cell r="F125" t="str">
            <v>D6N233550278</v>
          </cell>
          <cell r="G125" t="str">
            <v>VERDE</v>
          </cell>
          <cell r="H125" t="str">
            <v>IMPRESORA TERMICA</v>
          </cell>
        </row>
        <row r="126">
          <cell r="A126" t="str">
            <v>D6N232750746</v>
          </cell>
          <cell r="B126" t="str">
            <v>ZEBRA</v>
          </cell>
          <cell r="C126" t="str">
            <v>ZD421T</v>
          </cell>
          <cell r="D126" t="str">
            <v>LOCALIZAR</v>
          </cell>
          <cell r="E126" t="str">
            <v>EDIFICIO #1</v>
          </cell>
          <cell r="F126" t="str">
            <v>D6N232750746</v>
          </cell>
          <cell r="G126" t="str">
            <v>VERDE</v>
          </cell>
          <cell r="H126" t="str">
            <v>IMPRESORA TERMICA</v>
          </cell>
        </row>
        <row r="127">
          <cell r="A127" t="str">
            <v>D6J243313447</v>
          </cell>
          <cell r="B127" t="str">
            <v>ZEBRA</v>
          </cell>
          <cell r="C127" t="str">
            <v>ZD421T</v>
          </cell>
          <cell r="D127" t="str">
            <v>LOCALIZAR</v>
          </cell>
          <cell r="E127" t="str">
            <v>EDIFICIO #1</v>
          </cell>
          <cell r="F127" t="str">
            <v>D6J243313447</v>
          </cell>
          <cell r="G127" t="str">
            <v>VERDE</v>
          </cell>
          <cell r="H127" t="str">
            <v>IMPRESORA TERMICA</v>
          </cell>
        </row>
        <row r="128">
          <cell r="A128" t="str">
            <v>D6J243500617</v>
          </cell>
          <cell r="B128" t="str">
            <v>ZEBRA</v>
          </cell>
          <cell r="C128" t="str">
            <v>ZD421T</v>
          </cell>
          <cell r="D128" t="str">
            <v>LOCALIZAR</v>
          </cell>
          <cell r="E128" t="str">
            <v>EDIFICIO #1</v>
          </cell>
          <cell r="F128" t="str">
            <v>D6J243500617</v>
          </cell>
          <cell r="G128" t="str">
            <v>VERDE</v>
          </cell>
          <cell r="H128" t="str">
            <v>IMPRESORA TERMICA</v>
          </cell>
        </row>
        <row r="129">
          <cell r="A129" t="str">
            <v>D6J243311837</v>
          </cell>
          <cell r="B129" t="str">
            <v>ZEBRA</v>
          </cell>
          <cell r="C129" t="str">
            <v>ZD421T</v>
          </cell>
          <cell r="D129" t="str">
            <v>LINEA 46 (SISTEMA SRK)</v>
          </cell>
          <cell r="E129" t="str">
            <v>EDIFICIO #3</v>
          </cell>
          <cell r="F129" t="str">
            <v>D6J243311837</v>
          </cell>
          <cell r="G129" t="str">
            <v>VERDE</v>
          </cell>
          <cell r="H129" t="str">
            <v>IMPRESORA TERMICA</v>
          </cell>
        </row>
        <row r="130">
          <cell r="A130" t="str">
            <v>D6J243311853</v>
          </cell>
          <cell r="B130" t="str">
            <v>ZEBRA</v>
          </cell>
          <cell r="C130" t="str">
            <v>ZD421T</v>
          </cell>
          <cell r="D130" t="str">
            <v>LOCALIZAR</v>
          </cell>
          <cell r="E130" t="str">
            <v>EDIFICIO #1</v>
          </cell>
          <cell r="F130" t="str">
            <v>D6J243311853</v>
          </cell>
          <cell r="H130" t="str">
            <v>IMPRESORA TERMICA</v>
          </cell>
        </row>
        <row r="131">
          <cell r="A131" t="str">
            <v>D6J242008114</v>
          </cell>
          <cell r="B131" t="str">
            <v>ZEBRA</v>
          </cell>
          <cell r="C131" t="str">
            <v>ZD421T</v>
          </cell>
          <cell r="D131" t="str">
            <v>LOCALIZAR</v>
          </cell>
          <cell r="E131" t="str">
            <v>EDIFICIO #1</v>
          </cell>
          <cell r="F131" t="str">
            <v>D6J242008114</v>
          </cell>
          <cell r="H131" t="str">
            <v>IMPRESORA TERMICA</v>
          </cell>
        </row>
        <row r="132">
          <cell r="A132" t="str">
            <v>D6J244303454</v>
          </cell>
          <cell r="B132" t="str">
            <v>ZEBRA</v>
          </cell>
          <cell r="C132" t="str">
            <v>ZD421T</v>
          </cell>
          <cell r="D132" t="str">
            <v>LOCALIZAR</v>
          </cell>
          <cell r="E132" t="str">
            <v>EDIFICIO #1</v>
          </cell>
          <cell r="F132" t="str">
            <v>D6J244303454</v>
          </cell>
          <cell r="H132" t="str">
            <v>IMPRESORA TERMICA</v>
          </cell>
        </row>
        <row r="133">
          <cell r="A133" t="str">
            <v>D6J232505623</v>
          </cell>
          <cell r="B133" t="str">
            <v>ZEBRA</v>
          </cell>
          <cell r="C133" t="str">
            <v>ZD421T</v>
          </cell>
          <cell r="D133" t="str">
            <v>LOCALIZAR</v>
          </cell>
          <cell r="E133" t="str">
            <v>EDIFICIO #1</v>
          </cell>
          <cell r="F133" t="str">
            <v>D6J232505623</v>
          </cell>
          <cell r="H133" t="str">
            <v>IMPRESORA TERMICA</v>
          </cell>
        </row>
      </sheetData>
      <sheetData sheetId="3" refreshError="1">
        <row r="1">
          <cell r="A1" t="str">
            <v>Serial</v>
          </cell>
          <cell r="B1" t="str">
            <v>Marca</v>
          </cell>
          <cell r="C1" t="str">
            <v>Modelo</v>
          </cell>
          <cell r="D1" t="str">
            <v>Ubicación</v>
          </cell>
          <cell r="G1" t="str">
            <v>ZONA</v>
          </cell>
        </row>
        <row r="2">
          <cell r="A2" t="str">
            <v>4B1146P47169</v>
          </cell>
          <cell r="D2" t="str">
            <v>LOCALIZAR</v>
          </cell>
          <cell r="E2" t="str">
            <v>EDIFICIO #1</v>
          </cell>
          <cell r="F2" t="str">
            <v>4B1146P47169</v>
          </cell>
          <cell r="G2" t="str">
            <v>VERDE</v>
          </cell>
          <cell r="H2" t="str">
            <v>UPS</v>
          </cell>
        </row>
        <row r="3">
          <cell r="A3" t="str">
            <v>4B1146P49234</v>
          </cell>
          <cell r="D3" t="str">
            <v>CONECTORES 101 (SISTEMA SRK)</v>
          </cell>
          <cell r="E3" t="str">
            <v>EDIFICIO #1</v>
          </cell>
          <cell r="F3" t="str">
            <v>4B1146P49234</v>
          </cell>
          <cell r="G3" t="str">
            <v>VERDE</v>
          </cell>
          <cell r="H3" t="str">
            <v>UPS</v>
          </cell>
        </row>
        <row r="4">
          <cell r="A4" t="str">
            <v>4B1146P49222</v>
          </cell>
          <cell r="D4" t="str">
            <v>CONECTORES 102 (SISTEMA SRK)</v>
          </cell>
          <cell r="E4" t="str">
            <v>EDIFICIO #1</v>
          </cell>
          <cell r="F4" t="str">
            <v>4B1146P49222</v>
          </cell>
          <cell r="G4" t="str">
            <v>VERDE</v>
          </cell>
          <cell r="H4" t="str">
            <v>UPS</v>
          </cell>
        </row>
        <row r="5">
          <cell r="A5" t="str">
            <v>4B1205P42852</v>
          </cell>
          <cell r="D5" t="str">
            <v>CONECTORES 103 (SISTEMA SRK)</v>
          </cell>
          <cell r="E5" t="str">
            <v>EDIFICIO #1</v>
          </cell>
          <cell r="F5" t="str">
            <v>4B1205P42852</v>
          </cell>
          <cell r="G5" t="str">
            <v>VERDE</v>
          </cell>
          <cell r="H5" t="str">
            <v>UPS</v>
          </cell>
        </row>
        <row r="6">
          <cell r="A6" t="str">
            <v>4B1146P47193</v>
          </cell>
          <cell r="D6" t="str">
            <v>CONECTORES 104 (SISTEMA SRK)</v>
          </cell>
          <cell r="E6" t="str">
            <v>EDIFICIO #1</v>
          </cell>
          <cell r="F6" t="str">
            <v>4B1146P47193</v>
          </cell>
          <cell r="G6" t="str">
            <v>VERDE</v>
          </cell>
          <cell r="H6" t="str">
            <v>UPS</v>
          </cell>
        </row>
        <row r="7">
          <cell r="A7" t="str">
            <v>4B1314P06049</v>
          </cell>
          <cell r="D7" t="str">
            <v>LOCALIZAR</v>
          </cell>
          <cell r="E7" t="str">
            <v>EDIFICIO #1</v>
          </cell>
          <cell r="F7" t="str">
            <v>4B1314P06049</v>
          </cell>
          <cell r="H7" t="str">
            <v>UPS</v>
          </cell>
        </row>
        <row r="8">
          <cell r="A8" t="str">
            <v>4B1146P49243</v>
          </cell>
          <cell r="D8" t="str">
            <v>BORDES (SISTEMA SRK)</v>
          </cell>
          <cell r="E8" t="str">
            <v>EDIFICIO #1</v>
          </cell>
          <cell r="F8" t="str">
            <v>4B1146P49243</v>
          </cell>
          <cell r="G8" t="str">
            <v>VERDE</v>
          </cell>
          <cell r="H8" t="str">
            <v>UPS</v>
          </cell>
        </row>
        <row r="9">
          <cell r="A9" t="str">
            <v>4B1146P47224</v>
          </cell>
          <cell r="D9" t="str">
            <v>LOCALIZAR</v>
          </cell>
          <cell r="E9" t="str">
            <v>EDIFICIO #1</v>
          </cell>
          <cell r="F9" t="str">
            <v>4B1146P47224</v>
          </cell>
          <cell r="H9" t="str">
            <v>UPS</v>
          </cell>
        </row>
        <row r="10">
          <cell r="A10" t="str">
            <v>4B1128P49746</v>
          </cell>
          <cell r="D10" t="str">
            <v>LOCALIZAR</v>
          </cell>
          <cell r="E10" t="str">
            <v>EDIFICIO #1</v>
          </cell>
          <cell r="F10" t="str">
            <v>4B1128P49746</v>
          </cell>
          <cell r="G10" t="str">
            <v>VERDE</v>
          </cell>
          <cell r="H10" t="str">
            <v>UPS</v>
          </cell>
        </row>
        <row r="11">
          <cell r="A11" t="str">
            <v>4B1128P48549</v>
          </cell>
          <cell r="D11" t="str">
            <v>LOCALIZAR</v>
          </cell>
          <cell r="E11" t="str">
            <v>EDIFICIO #1</v>
          </cell>
          <cell r="F11" t="str">
            <v>4B1128P48549</v>
          </cell>
          <cell r="G11" t="str">
            <v>VERDE</v>
          </cell>
          <cell r="H11" t="str">
            <v>UPS</v>
          </cell>
        </row>
        <row r="12">
          <cell r="A12" t="str">
            <v>4B1128P48541</v>
          </cell>
          <cell r="D12" t="str">
            <v>LOCALIZAR</v>
          </cell>
          <cell r="E12" t="str">
            <v>EDIFICIO #1</v>
          </cell>
          <cell r="F12" t="str">
            <v>4B1128P48541</v>
          </cell>
          <cell r="G12" t="str">
            <v>VERDE</v>
          </cell>
          <cell r="H12" t="str">
            <v>UPS</v>
          </cell>
        </row>
        <row r="13">
          <cell r="A13" t="str">
            <v>4B1128P48545</v>
          </cell>
          <cell r="D13" t="str">
            <v>LOCALIZAR</v>
          </cell>
          <cell r="E13" t="str">
            <v>EDIFICIO #1</v>
          </cell>
          <cell r="F13" t="str">
            <v>4B1128P48545</v>
          </cell>
          <cell r="G13" t="str">
            <v>VERDE</v>
          </cell>
          <cell r="H13" t="str">
            <v>UPS</v>
          </cell>
        </row>
        <row r="14">
          <cell r="A14" t="str">
            <v>4B1128P48560</v>
          </cell>
          <cell r="D14" t="str">
            <v>LOCALIZAR</v>
          </cell>
          <cell r="E14" t="str">
            <v>EDIFICIO #1</v>
          </cell>
          <cell r="F14" t="str">
            <v>4B1128P48560</v>
          </cell>
          <cell r="G14" t="str">
            <v>VERDE</v>
          </cell>
          <cell r="H14" t="str">
            <v>UPS</v>
          </cell>
        </row>
        <row r="15">
          <cell r="A15" t="str">
            <v>4B1128P49729</v>
          </cell>
          <cell r="D15" t="str">
            <v>LOCALIZAR</v>
          </cell>
          <cell r="E15" t="str">
            <v>EDIFICIO #1</v>
          </cell>
          <cell r="F15" t="str">
            <v>4B1128P49729</v>
          </cell>
          <cell r="G15" t="str">
            <v>VERDE</v>
          </cell>
          <cell r="H15" t="str">
            <v>UPS</v>
          </cell>
        </row>
        <row r="16">
          <cell r="A16" t="str">
            <v>4B1128P49756</v>
          </cell>
          <cell r="D16" t="str">
            <v>LOCALIZAR</v>
          </cell>
          <cell r="E16" t="str">
            <v>EDIFICIO #1</v>
          </cell>
          <cell r="F16" t="str">
            <v>4B1128P49756</v>
          </cell>
          <cell r="G16" t="str">
            <v>VERDE</v>
          </cell>
          <cell r="H16" t="str">
            <v>UPS</v>
          </cell>
        </row>
        <row r="17">
          <cell r="A17" t="str">
            <v>4B1124P31878</v>
          </cell>
          <cell r="D17" t="str">
            <v>LOCALIZAR</v>
          </cell>
          <cell r="E17" t="str">
            <v>EDIFICIO #1</v>
          </cell>
          <cell r="F17" t="str">
            <v>4B1124P31878</v>
          </cell>
          <cell r="G17" t="str">
            <v>VERDE</v>
          </cell>
          <cell r="H17" t="str">
            <v>UPS</v>
          </cell>
        </row>
        <row r="18">
          <cell r="A18" t="str">
            <v>4B1124P31877</v>
          </cell>
          <cell r="D18" t="str">
            <v>LINEA 09 (SISTEMA SRK)</v>
          </cell>
          <cell r="E18" t="str">
            <v>EDIFICIO #2</v>
          </cell>
          <cell r="F18" t="str">
            <v>4B1124P31877</v>
          </cell>
          <cell r="G18" t="str">
            <v>VERDE</v>
          </cell>
          <cell r="H18" t="str">
            <v>UPS</v>
          </cell>
        </row>
        <row r="19">
          <cell r="A19" t="str">
            <v>4B1146P49269</v>
          </cell>
          <cell r="D19" t="str">
            <v>LOCALIZAR</v>
          </cell>
          <cell r="E19" t="str">
            <v>EDIFICIO #1</v>
          </cell>
          <cell r="F19" t="str">
            <v>4B1146P49269</v>
          </cell>
          <cell r="G19" t="str">
            <v>VERDE</v>
          </cell>
          <cell r="H19" t="str">
            <v>UPS</v>
          </cell>
        </row>
        <row r="20">
          <cell r="A20" t="str">
            <v>4B1128P48556</v>
          </cell>
          <cell r="D20" t="str">
            <v>LOCALIZAR</v>
          </cell>
          <cell r="E20" t="str">
            <v>EDIFICIO #1</v>
          </cell>
          <cell r="F20" t="str">
            <v>4B1128P48556</v>
          </cell>
          <cell r="G20" t="str">
            <v>VERDE</v>
          </cell>
          <cell r="H20" t="str">
            <v>UPS</v>
          </cell>
        </row>
        <row r="21">
          <cell r="A21" t="str">
            <v>4B1128P49260</v>
          </cell>
          <cell r="D21" t="str">
            <v>LINEA 12 (SISTEMA SRK)</v>
          </cell>
          <cell r="E21" t="str">
            <v>EDIFICIO #2</v>
          </cell>
          <cell r="F21" t="str">
            <v>4B1128P49260</v>
          </cell>
          <cell r="G21" t="str">
            <v>VERDE</v>
          </cell>
          <cell r="H21" t="str">
            <v>UPS</v>
          </cell>
        </row>
        <row r="22">
          <cell r="A22" t="str">
            <v>4B1128P47894</v>
          </cell>
          <cell r="D22" t="str">
            <v>LOCALIZAR</v>
          </cell>
          <cell r="E22" t="str">
            <v>EDIFICIO #1</v>
          </cell>
          <cell r="F22" t="str">
            <v>4B1128P47894</v>
          </cell>
          <cell r="G22" t="str">
            <v>VERDE</v>
          </cell>
          <cell r="H22" t="str">
            <v>UPS</v>
          </cell>
        </row>
        <row r="23">
          <cell r="A23" t="str">
            <v>4B1128P48536</v>
          </cell>
          <cell r="D23" t="str">
            <v>CORTE 2 (SISTEMA SRK)</v>
          </cell>
          <cell r="E23" t="str">
            <v>EDIFICIO #1</v>
          </cell>
          <cell r="F23" t="str">
            <v>4B1128P48536</v>
          </cell>
          <cell r="G23" t="str">
            <v>VERDE</v>
          </cell>
          <cell r="H23" t="str">
            <v>UPS</v>
          </cell>
        </row>
        <row r="24">
          <cell r="A24" t="str">
            <v>4B1128P49751</v>
          </cell>
          <cell r="D24" t="str">
            <v>LOCALIZAR</v>
          </cell>
          <cell r="E24" t="str">
            <v>EDIFICIO #1</v>
          </cell>
          <cell r="F24" t="str">
            <v>4B1128P49751</v>
          </cell>
          <cell r="G24" t="str">
            <v>VERDE</v>
          </cell>
          <cell r="H24" t="str">
            <v>UPS</v>
          </cell>
        </row>
        <row r="25">
          <cell r="A25" t="str">
            <v>4B1226P31318</v>
          </cell>
          <cell r="D25" t="str">
            <v>LOCALIZAR</v>
          </cell>
          <cell r="E25" t="str">
            <v>EDIFICIO #1</v>
          </cell>
          <cell r="F25" t="str">
            <v>4B1226P31318</v>
          </cell>
          <cell r="H25" t="str">
            <v>UPS</v>
          </cell>
        </row>
        <row r="26">
          <cell r="A26" t="str">
            <v>4B1205P42855</v>
          </cell>
          <cell r="D26" t="str">
            <v>LOCALIZAR</v>
          </cell>
          <cell r="E26" t="str">
            <v>EDIFICIO #1</v>
          </cell>
          <cell r="F26" t="str">
            <v>4B1205P42855</v>
          </cell>
          <cell r="H26" t="str">
            <v>UPS</v>
          </cell>
        </row>
        <row r="27">
          <cell r="A27" t="str">
            <v>4B1124P31676</v>
          </cell>
          <cell r="D27" t="str">
            <v>AUTOCLAVE 5 (SISTEMA SRK)</v>
          </cell>
          <cell r="E27" t="str">
            <v>EDIFICIO #1</v>
          </cell>
          <cell r="F27" t="str">
            <v>4B1124P31676</v>
          </cell>
          <cell r="G27" t="str">
            <v>VERDE</v>
          </cell>
          <cell r="H27" t="str">
            <v>UPS</v>
          </cell>
        </row>
        <row r="28">
          <cell r="A28" t="str">
            <v>4B1205P42862</v>
          </cell>
          <cell r="D28" t="str">
            <v>LOCALIZAR</v>
          </cell>
          <cell r="E28" t="str">
            <v>EDIFICIO #1</v>
          </cell>
          <cell r="F28" t="str">
            <v>4B1205P42862</v>
          </cell>
          <cell r="G28" t="str">
            <v>VERDE</v>
          </cell>
          <cell r="H28" t="str">
            <v>UPS</v>
          </cell>
        </row>
        <row r="29">
          <cell r="A29" t="str">
            <v>3B1128X24305</v>
          </cell>
          <cell r="D29" t="str">
            <v>CCTV PARED ARRIBA FRENTE A LAS 300´S</v>
          </cell>
          <cell r="E29" t="str">
            <v>EDIFICIO #1</v>
          </cell>
          <cell r="F29" t="str">
            <v>3B1128X24305</v>
          </cell>
          <cell r="H29" t="str">
            <v>UPS</v>
          </cell>
        </row>
        <row r="30">
          <cell r="A30" t="str">
            <v>4B1123P18789</v>
          </cell>
          <cell r="D30" t="str">
            <v>LOCALIZAR</v>
          </cell>
          <cell r="E30" t="str">
            <v>EDIFICIO #1</v>
          </cell>
          <cell r="F30" t="str">
            <v>4B1123P18789</v>
          </cell>
          <cell r="H30" t="str">
            <v>UPS</v>
          </cell>
        </row>
        <row r="31">
          <cell r="A31" t="str">
            <v>4B1123P18746</v>
          </cell>
          <cell r="D31" t="str">
            <v>LINEA 24 (SISTEMA SRK)</v>
          </cell>
          <cell r="E31" t="str">
            <v>EDIFICIO #2</v>
          </cell>
          <cell r="F31" t="str">
            <v>4B1123P18746</v>
          </cell>
          <cell r="G31" t="str">
            <v>VERDE</v>
          </cell>
          <cell r="H31" t="str">
            <v>UPS</v>
          </cell>
        </row>
        <row r="32">
          <cell r="A32" t="str">
            <v>4B1124P31706</v>
          </cell>
          <cell r="D32" t="str">
            <v>LOCALIZAR</v>
          </cell>
          <cell r="E32" t="str">
            <v>EDIFICIO #1</v>
          </cell>
          <cell r="F32" t="str">
            <v>4B1124P31706</v>
          </cell>
          <cell r="H32" t="str">
            <v>UPS</v>
          </cell>
        </row>
        <row r="33">
          <cell r="A33" t="str">
            <v>4B1146P49271</v>
          </cell>
          <cell r="D33" t="str">
            <v>LOCALIZAR</v>
          </cell>
          <cell r="E33" t="str">
            <v>EDIFICIO #1</v>
          </cell>
          <cell r="F33" t="str">
            <v>4B1146P49271</v>
          </cell>
          <cell r="H33" t="str">
            <v>UPS</v>
          </cell>
        </row>
        <row r="34">
          <cell r="A34" t="str">
            <v>4B1146P47186</v>
          </cell>
          <cell r="D34" t="str">
            <v>LINEA 23 (SISTEMA SRK)</v>
          </cell>
          <cell r="E34" t="str">
            <v>EDIFICIO #2</v>
          </cell>
          <cell r="F34" t="str">
            <v>4B1146P47186</v>
          </cell>
          <cell r="G34" t="str">
            <v>VERDE</v>
          </cell>
          <cell r="H34" t="str">
            <v>UPS</v>
          </cell>
        </row>
        <row r="35">
          <cell r="A35" t="str">
            <v>4B1205P34544</v>
          </cell>
          <cell r="D35" t="str">
            <v>LOCALIZAR</v>
          </cell>
          <cell r="E35" t="str">
            <v>EDIFICIO #1</v>
          </cell>
          <cell r="F35" t="str">
            <v>4B1205P34544</v>
          </cell>
          <cell r="G35" t="str">
            <v>VERDE</v>
          </cell>
          <cell r="H35" t="str">
            <v>UPS</v>
          </cell>
        </row>
        <row r="36">
          <cell r="A36" t="str">
            <v>4B1128P49738</v>
          </cell>
          <cell r="D36" t="str">
            <v>LOCALIZAR</v>
          </cell>
          <cell r="E36" t="str">
            <v>EDIFICIO #1</v>
          </cell>
          <cell r="F36" t="str">
            <v>4B1128P49738</v>
          </cell>
          <cell r="H36" t="str">
            <v>UPS</v>
          </cell>
        </row>
        <row r="37">
          <cell r="A37" t="str">
            <v>4B1205P34236</v>
          </cell>
          <cell r="D37" t="str">
            <v>LOCALIZAR</v>
          </cell>
          <cell r="E37" t="str">
            <v>EDIFICIO #1</v>
          </cell>
          <cell r="F37" t="str">
            <v>4B1205P34236</v>
          </cell>
          <cell r="G37" t="str">
            <v>VERDE</v>
          </cell>
          <cell r="H37" t="str">
            <v>UPS</v>
          </cell>
        </row>
        <row r="38">
          <cell r="A38" t="str">
            <v>4B1146P47192</v>
          </cell>
          <cell r="D38" t="str">
            <v>LOCALIZAR</v>
          </cell>
          <cell r="E38" t="str">
            <v>EDIFICIO #1</v>
          </cell>
          <cell r="F38" t="str">
            <v>4B1146P47192</v>
          </cell>
          <cell r="G38" t="str">
            <v>VERDE</v>
          </cell>
          <cell r="H38" t="str">
            <v>UPS</v>
          </cell>
        </row>
        <row r="39">
          <cell r="A39" t="str">
            <v>4B1329P43899</v>
          </cell>
          <cell r="D39" t="str">
            <v>LOCALIZAR</v>
          </cell>
          <cell r="E39" t="str">
            <v>EDIFICIO #1</v>
          </cell>
          <cell r="F39" t="str">
            <v>4B1329P43899</v>
          </cell>
          <cell r="G39" t="str">
            <v>VERDE</v>
          </cell>
          <cell r="H39" t="str">
            <v>UPS</v>
          </cell>
        </row>
        <row r="40">
          <cell r="A40" t="str">
            <v>4B1205P42857</v>
          </cell>
          <cell r="D40" t="str">
            <v>LOCALIZAR</v>
          </cell>
          <cell r="E40" t="str">
            <v>EDIFICIO #1</v>
          </cell>
          <cell r="F40" t="str">
            <v>4B1205P42857</v>
          </cell>
          <cell r="G40" t="str">
            <v>VERDE</v>
          </cell>
          <cell r="H40" t="str">
            <v>UPS</v>
          </cell>
        </row>
        <row r="41">
          <cell r="A41" t="str">
            <v>4B1205P35396</v>
          </cell>
          <cell r="D41" t="str">
            <v>LOCALIZAR</v>
          </cell>
          <cell r="E41" t="str">
            <v>EDIFICIO #1</v>
          </cell>
          <cell r="F41" t="str">
            <v>4B1205P35396</v>
          </cell>
          <cell r="G41" t="str">
            <v>VERDE</v>
          </cell>
          <cell r="H41" t="str">
            <v>UPS</v>
          </cell>
        </row>
        <row r="42">
          <cell r="A42" t="str">
            <v>4B1128P49747</v>
          </cell>
          <cell r="D42" t="str">
            <v>CORTE 1 (SISTEMA SRK)</v>
          </cell>
          <cell r="E42" t="str">
            <v>EDIFICIO #1</v>
          </cell>
          <cell r="F42" t="str">
            <v>4B1128P49747</v>
          </cell>
          <cell r="G42" t="str">
            <v>VERDE</v>
          </cell>
          <cell r="H42" t="str">
            <v>UPS</v>
          </cell>
        </row>
        <row r="43">
          <cell r="A43" t="str">
            <v>4B1128P49742</v>
          </cell>
          <cell r="D43" t="str">
            <v>LOCALIZAR</v>
          </cell>
          <cell r="E43" t="str">
            <v>EDIFICIO #1</v>
          </cell>
          <cell r="F43" t="str">
            <v>4B1128P49742</v>
          </cell>
          <cell r="G43" t="str">
            <v>VERDE</v>
          </cell>
          <cell r="H43" t="str">
            <v>UPS</v>
          </cell>
        </row>
        <row r="44">
          <cell r="A44" t="str">
            <v>4B1146P47173</v>
          </cell>
          <cell r="D44" t="str">
            <v>CAMARAS 1 (SISTEMA SRK)</v>
          </cell>
          <cell r="E44" t="str">
            <v>EDIFICIO #1</v>
          </cell>
          <cell r="F44" t="str">
            <v>4B1146P47173</v>
          </cell>
          <cell r="G44" t="str">
            <v>VERDE</v>
          </cell>
          <cell r="H44" t="str">
            <v>UPS</v>
          </cell>
        </row>
        <row r="45">
          <cell r="A45" t="str">
            <v>4B1146P49270</v>
          </cell>
          <cell r="D45" t="str">
            <v>LOCALIZAR</v>
          </cell>
          <cell r="E45" t="str">
            <v>EDIFICIO #1</v>
          </cell>
          <cell r="F45" t="str">
            <v>4B1146P49270</v>
          </cell>
          <cell r="H45" t="str">
            <v>UPS</v>
          </cell>
        </row>
        <row r="46">
          <cell r="A46" t="str">
            <v>4B1146P49280</v>
          </cell>
          <cell r="D46" t="str">
            <v>LOCALIZAR</v>
          </cell>
          <cell r="E46" t="str">
            <v>EDIFICIO #1</v>
          </cell>
          <cell r="F46" t="str">
            <v>4B1146P49280</v>
          </cell>
          <cell r="H46" t="str">
            <v>UPS</v>
          </cell>
        </row>
        <row r="47">
          <cell r="A47" t="str">
            <v>4B1205P42854</v>
          </cell>
          <cell r="D47" t="str">
            <v>LOCALIZAR</v>
          </cell>
          <cell r="E47" t="str">
            <v>EDIFICIO #1</v>
          </cell>
          <cell r="F47" t="str">
            <v>4B1205P42854</v>
          </cell>
          <cell r="G47" t="str">
            <v>VERDE</v>
          </cell>
          <cell r="H47" t="str">
            <v>UPS</v>
          </cell>
        </row>
        <row r="48">
          <cell r="A48" t="str">
            <v>4B1131P19308</v>
          </cell>
          <cell r="D48" t="str">
            <v>LOCALIZAR</v>
          </cell>
          <cell r="E48" t="str">
            <v>EDIFICIO #1</v>
          </cell>
          <cell r="F48" t="str">
            <v>4B1131P19308</v>
          </cell>
          <cell r="G48" t="str">
            <v>VERDE</v>
          </cell>
          <cell r="H48" t="str">
            <v>UPS</v>
          </cell>
        </row>
        <row r="49">
          <cell r="A49" t="str">
            <v>4B1226P30971</v>
          </cell>
          <cell r="D49" t="str">
            <v>LOCALIZAR</v>
          </cell>
          <cell r="E49" t="str">
            <v>EDIFICIO #1</v>
          </cell>
          <cell r="F49" t="str">
            <v>4B1226P30971</v>
          </cell>
          <cell r="G49" t="str">
            <v>VERDE</v>
          </cell>
          <cell r="H49" t="str">
            <v>UPS</v>
          </cell>
        </row>
        <row r="50">
          <cell r="A50" t="str">
            <v>4B1146P47190</v>
          </cell>
          <cell r="D50" t="str">
            <v>LOCALIZAR</v>
          </cell>
          <cell r="E50" t="str">
            <v>EDIFICIO #1</v>
          </cell>
          <cell r="F50" t="str">
            <v>4B1146P47190</v>
          </cell>
          <cell r="G50" t="str">
            <v>VERDE</v>
          </cell>
          <cell r="H50" t="str">
            <v>UPS</v>
          </cell>
        </row>
        <row r="51">
          <cell r="A51" t="str">
            <v>4B1128P49752</v>
          </cell>
          <cell r="D51" t="str">
            <v>LOCALIZAR</v>
          </cell>
          <cell r="E51" t="str">
            <v>EDIFICIO #1</v>
          </cell>
          <cell r="F51" t="str">
            <v>4B1128P49752</v>
          </cell>
          <cell r="H51" t="str">
            <v>UPS</v>
          </cell>
        </row>
        <row r="52">
          <cell r="A52" t="str">
            <v>4B1226P30824</v>
          </cell>
          <cell r="D52" t="str">
            <v>LOCALIZAR</v>
          </cell>
          <cell r="E52" t="str">
            <v>EDIFICIO #1</v>
          </cell>
          <cell r="F52" t="str">
            <v>4B1226P30824</v>
          </cell>
          <cell r="G52" t="str">
            <v>VERDE</v>
          </cell>
          <cell r="H52" t="str">
            <v>UPS</v>
          </cell>
        </row>
        <row r="53">
          <cell r="A53" t="str">
            <v>4B1015P35597</v>
          </cell>
          <cell r="D53" t="str">
            <v>LOCALIZAR</v>
          </cell>
          <cell r="E53" t="str">
            <v>EDIFICIO #1</v>
          </cell>
          <cell r="F53" t="str">
            <v>4B1015P35597</v>
          </cell>
          <cell r="H53" t="str">
            <v>UPS</v>
          </cell>
        </row>
        <row r="54">
          <cell r="A54" t="str">
            <v>4B1146P49279</v>
          </cell>
          <cell r="D54" t="str">
            <v>LOCALIZAR</v>
          </cell>
          <cell r="E54" t="str">
            <v>EDIFICIO #1</v>
          </cell>
          <cell r="F54" t="str">
            <v>4B1146P49279</v>
          </cell>
          <cell r="G54" t="str">
            <v>VERDE</v>
          </cell>
          <cell r="H54" t="str">
            <v>UPS</v>
          </cell>
        </row>
        <row r="55">
          <cell r="A55" t="str">
            <v>4B1146P47194</v>
          </cell>
          <cell r="D55" t="str">
            <v>LOCALIZAR</v>
          </cell>
          <cell r="E55" t="str">
            <v>EDIFICIO #1</v>
          </cell>
          <cell r="F55" t="str">
            <v>4B1146P47194</v>
          </cell>
          <cell r="G55" t="str">
            <v>VERDE</v>
          </cell>
          <cell r="H55" t="str">
            <v>UPS</v>
          </cell>
        </row>
        <row r="56">
          <cell r="A56" t="str">
            <v>4B1205P35401</v>
          </cell>
          <cell r="D56" t="str">
            <v>LOCALIZAR</v>
          </cell>
          <cell r="E56" t="str">
            <v>EDIFICIO #1</v>
          </cell>
          <cell r="F56" t="str">
            <v>4B1205P35401</v>
          </cell>
          <cell r="H56" t="str">
            <v>UPS</v>
          </cell>
        </row>
        <row r="57">
          <cell r="A57" t="str">
            <v>4B1015P22346</v>
          </cell>
          <cell r="D57" t="str">
            <v>LOCALIZAR</v>
          </cell>
          <cell r="E57" t="str">
            <v>EDIFICIO #1</v>
          </cell>
          <cell r="F57" t="str">
            <v>4B1015P22346</v>
          </cell>
          <cell r="H57" t="str">
            <v>UPS</v>
          </cell>
        </row>
        <row r="58">
          <cell r="A58" t="str">
            <v>4B1419P08884</v>
          </cell>
          <cell r="D58" t="str">
            <v>PROTECTOR 5 (SISTEMA SRK)</v>
          </cell>
          <cell r="E58" t="str">
            <v>EDIFICIO #2</v>
          </cell>
          <cell r="F58" t="str">
            <v>4B1419P08884</v>
          </cell>
          <cell r="G58" t="str">
            <v>VERDE</v>
          </cell>
          <cell r="H58" t="str">
            <v>UPS</v>
          </cell>
        </row>
        <row r="59">
          <cell r="A59" t="str">
            <v>4B1015P10977</v>
          </cell>
          <cell r="D59" t="str">
            <v>LOCALIZAR</v>
          </cell>
          <cell r="E59" t="str">
            <v>EDIFICIO #1</v>
          </cell>
          <cell r="F59" t="str">
            <v>4B1015P10977</v>
          </cell>
          <cell r="G59" t="str">
            <v>VERDE</v>
          </cell>
          <cell r="H59" t="str">
            <v>UPS</v>
          </cell>
        </row>
        <row r="60">
          <cell r="A60" t="str">
            <v>3B1044X10037</v>
          </cell>
          <cell r="D60" t="str">
            <v>AREA DE LOCKERS (S/V LINEAS)</v>
          </cell>
          <cell r="E60" t="str">
            <v>EDIFICIO #1</v>
          </cell>
          <cell r="F60" t="str">
            <v>3B1044X10037</v>
          </cell>
          <cell r="H60" t="str">
            <v>UPS</v>
          </cell>
        </row>
        <row r="61">
          <cell r="A61" t="str">
            <v>4B1128P48603</v>
          </cell>
          <cell r="D61" t="str">
            <v>LOCALIZAR</v>
          </cell>
          <cell r="E61" t="str">
            <v>EDIFICIO #1</v>
          </cell>
          <cell r="F61" t="str">
            <v>4B1128P48603</v>
          </cell>
          <cell r="H61" t="str">
            <v>UPS</v>
          </cell>
        </row>
        <row r="62">
          <cell r="A62" t="str">
            <v>4B1128P48590</v>
          </cell>
          <cell r="D62" t="str">
            <v>LOCALIZAR</v>
          </cell>
          <cell r="E62" t="str">
            <v>EDIFICIO #1</v>
          </cell>
          <cell r="F62" t="str">
            <v>4B1128P48590</v>
          </cell>
          <cell r="H62" t="str">
            <v>UPS</v>
          </cell>
        </row>
        <row r="63">
          <cell r="A63" t="str">
            <v>4B1015P10681</v>
          </cell>
          <cell r="D63" t="str">
            <v>LOCALIZAR</v>
          </cell>
          <cell r="E63" t="str">
            <v>EDIFICIO #1</v>
          </cell>
          <cell r="F63" t="str">
            <v>4B1015P10681</v>
          </cell>
          <cell r="G63" t="str">
            <v>VERDE</v>
          </cell>
          <cell r="H63" t="str">
            <v>UPS</v>
          </cell>
        </row>
        <row r="64">
          <cell r="A64" t="str">
            <v>4B1131P19277</v>
          </cell>
          <cell r="D64" t="str">
            <v>LOCALIZAR</v>
          </cell>
          <cell r="E64" t="str">
            <v>EDIFICIO #1</v>
          </cell>
          <cell r="F64" t="str">
            <v>4B1131P19277</v>
          </cell>
          <cell r="H64" t="str">
            <v>UPS</v>
          </cell>
        </row>
        <row r="65">
          <cell r="A65" t="str">
            <v>4B1124P31887</v>
          </cell>
          <cell r="D65" t="str">
            <v>LOCALIZAR</v>
          </cell>
          <cell r="E65" t="str">
            <v>EDIFICIO #1</v>
          </cell>
          <cell r="F65" t="str">
            <v>4B1124P31887</v>
          </cell>
          <cell r="G65" t="str">
            <v>VERDE</v>
          </cell>
          <cell r="H65" t="str">
            <v>UPS</v>
          </cell>
        </row>
        <row r="66">
          <cell r="A66" t="str">
            <v>3B1128X24241</v>
          </cell>
          <cell r="D66" t="str">
            <v>LOCALIZAR</v>
          </cell>
          <cell r="E66" t="str">
            <v>EDIFICIO #1</v>
          </cell>
          <cell r="F66" t="str">
            <v>3B1128X24241</v>
          </cell>
          <cell r="H66" t="str">
            <v>UPS</v>
          </cell>
        </row>
        <row r="67">
          <cell r="A67" t="str">
            <v>4B1438P00935</v>
          </cell>
          <cell r="D67" t="str">
            <v>LOCALIZAR</v>
          </cell>
          <cell r="E67" t="str">
            <v>EDIFICIO #1</v>
          </cell>
          <cell r="F67" t="str">
            <v>4B1438P00935</v>
          </cell>
          <cell r="H67" t="str">
            <v>UPS</v>
          </cell>
        </row>
        <row r="68">
          <cell r="A68" t="str">
            <v>4B1131P19599</v>
          </cell>
          <cell r="D68" t="str">
            <v>LOCALIZAR</v>
          </cell>
          <cell r="E68" t="str">
            <v>EDIFICIO #1</v>
          </cell>
          <cell r="F68" t="str">
            <v>4B1131P19599</v>
          </cell>
          <cell r="H68" t="str">
            <v>UPS</v>
          </cell>
        </row>
        <row r="69">
          <cell r="A69" t="str">
            <v>4B1205P42850</v>
          </cell>
          <cell r="D69" t="str">
            <v>LOCALIZAR</v>
          </cell>
          <cell r="E69" t="str">
            <v>EDIFICIO #1</v>
          </cell>
          <cell r="F69" t="str">
            <v>4B1205P42850</v>
          </cell>
          <cell r="H69" t="str">
            <v>UPS</v>
          </cell>
        </row>
        <row r="70">
          <cell r="A70" t="str">
            <v>4B1128P48565</v>
          </cell>
          <cell r="D70" t="str">
            <v>LOCALIZAR</v>
          </cell>
          <cell r="E70" t="str">
            <v>EDIFICIO #1</v>
          </cell>
          <cell r="F70" t="str">
            <v>4B1128P48565</v>
          </cell>
          <cell r="H70" t="str">
            <v>UPS</v>
          </cell>
        </row>
        <row r="71">
          <cell r="A71" t="str">
            <v>4B1015P10654</v>
          </cell>
          <cell r="D71" t="str">
            <v>LOCALIZAR</v>
          </cell>
          <cell r="E71" t="str">
            <v>EDIFICIO #1</v>
          </cell>
          <cell r="F71" t="str">
            <v>4B1015P10654</v>
          </cell>
          <cell r="H71" t="str">
            <v>UPS</v>
          </cell>
        </row>
        <row r="72">
          <cell r="A72" t="str">
            <v>4B1124P32203</v>
          </cell>
          <cell r="D72" t="str">
            <v>LOCALIZAR</v>
          </cell>
          <cell r="E72" t="str">
            <v>EDIFICIO #1</v>
          </cell>
          <cell r="F72" t="str">
            <v>4B1124P32203</v>
          </cell>
          <cell r="H72" t="str">
            <v>UPS</v>
          </cell>
        </row>
        <row r="73">
          <cell r="A73" t="str">
            <v>4B1124P31782</v>
          </cell>
          <cell r="D73" t="str">
            <v>LOCALIZAR</v>
          </cell>
          <cell r="E73" t="str">
            <v>EDIFICIO #1</v>
          </cell>
          <cell r="F73" t="str">
            <v>4B1124P31782</v>
          </cell>
          <cell r="H73" t="str">
            <v>UPS</v>
          </cell>
        </row>
        <row r="74">
          <cell r="A74" t="str">
            <v>4B1205P34230</v>
          </cell>
          <cell r="D74" t="str">
            <v>LOCALIZAR</v>
          </cell>
          <cell r="E74" t="str">
            <v>EDIFICIO #1</v>
          </cell>
          <cell r="F74" t="str">
            <v>4B1205P34230</v>
          </cell>
          <cell r="H74" t="str">
            <v>UPS</v>
          </cell>
        </row>
        <row r="75">
          <cell r="A75" t="str">
            <v>4B1205P35398</v>
          </cell>
          <cell r="D75" t="str">
            <v>LOCALIZAR</v>
          </cell>
          <cell r="E75" t="str">
            <v>EDIFICIO #1</v>
          </cell>
          <cell r="F75" t="str">
            <v>4B1205P35398</v>
          </cell>
          <cell r="H75" t="str">
            <v>UPS</v>
          </cell>
        </row>
        <row r="76">
          <cell r="A76" t="str">
            <v>4B1438P00923</v>
          </cell>
          <cell r="D76" t="str">
            <v>LOCALIZAR</v>
          </cell>
          <cell r="E76" t="str">
            <v>EDIFICIO #1</v>
          </cell>
          <cell r="F76" t="str">
            <v>4B1438P00923</v>
          </cell>
          <cell r="H76" t="str">
            <v>UPS</v>
          </cell>
        </row>
        <row r="77">
          <cell r="A77" t="str">
            <v>4B1205P42853</v>
          </cell>
          <cell r="D77" t="str">
            <v>LOCALIZAR</v>
          </cell>
          <cell r="E77" t="str">
            <v>EDIFICIO #1</v>
          </cell>
          <cell r="F77" t="str">
            <v>4B1205P42853</v>
          </cell>
          <cell r="H77" t="str">
            <v>UPS</v>
          </cell>
        </row>
        <row r="78">
          <cell r="A78" t="str">
            <v>4B1324P41139</v>
          </cell>
          <cell r="D78" t="str">
            <v>LOCALIZAR</v>
          </cell>
          <cell r="E78" t="str">
            <v>EDIFICIO #1</v>
          </cell>
          <cell r="F78" t="str">
            <v>4B1324P41139</v>
          </cell>
          <cell r="H78" t="str">
            <v>UPS</v>
          </cell>
        </row>
        <row r="79">
          <cell r="A79" t="str">
            <v>4B1146P47218</v>
          </cell>
          <cell r="D79" t="str">
            <v>LOCALIZAR</v>
          </cell>
          <cell r="E79" t="str">
            <v>EDIFICIO #1</v>
          </cell>
          <cell r="F79" t="str">
            <v>4B1146P47218</v>
          </cell>
          <cell r="H79" t="str">
            <v>UPS</v>
          </cell>
        </row>
        <row r="80">
          <cell r="A80" t="str">
            <v>4B1226P30876</v>
          </cell>
          <cell r="D80" t="str">
            <v>LOCALIZAR</v>
          </cell>
          <cell r="E80" t="str">
            <v>EDIFICIO #1</v>
          </cell>
          <cell r="F80" t="str">
            <v>4B1226P30876</v>
          </cell>
          <cell r="H80" t="str">
            <v>UPS</v>
          </cell>
        </row>
        <row r="81">
          <cell r="A81" t="str">
            <v>4B1419P03725</v>
          </cell>
          <cell r="D81" t="str">
            <v>LOCALIZAR</v>
          </cell>
          <cell r="E81" t="str">
            <v>EDIFICIO #1</v>
          </cell>
          <cell r="F81" t="str">
            <v>4B1419P03725</v>
          </cell>
          <cell r="G81" t="str">
            <v>VERDE</v>
          </cell>
          <cell r="H81" t="str">
            <v>UPS</v>
          </cell>
        </row>
        <row r="82">
          <cell r="A82" t="str">
            <v>4B1128P48527</v>
          </cell>
          <cell r="D82" t="str">
            <v>CONECTORES CHECKER  (SISTEMA SRK)</v>
          </cell>
          <cell r="E82" t="str">
            <v>EDIFICIO #1</v>
          </cell>
          <cell r="F82" t="str">
            <v>4B1128P48527</v>
          </cell>
          <cell r="G82" t="str">
            <v>VERDE</v>
          </cell>
          <cell r="H82" t="str">
            <v>UPS</v>
          </cell>
        </row>
        <row r="83">
          <cell r="A83" t="str">
            <v>4B1407P03751</v>
          </cell>
          <cell r="D83" t="str">
            <v>LOCALIZAR</v>
          </cell>
          <cell r="E83" t="str">
            <v>EDIFICIO #1</v>
          </cell>
          <cell r="F83" t="str">
            <v>4B1407P03751</v>
          </cell>
          <cell r="G83" t="str">
            <v>VERDE</v>
          </cell>
          <cell r="H83" t="str">
            <v>UPS</v>
          </cell>
        </row>
        <row r="84">
          <cell r="A84" t="str">
            <v>4B1205P42858</v>
          </cell>
          <cell r="D84" t="str">
            <v>LOCALIZAR</v>
          </cell>
          <cell r="E84" t="str">
            <v>EDIFICIO #1</v>
          </cell>
          <cell r="F84" t="str">
            <v>4B1205P42858</v>
          </cell>
          <cell r="G84" t="str">
            <v>VERDE</v>
          </cell>
          <cell r="H84" t="str">
            <v>UPS</v>
          </cell>
        </row>
        <row r="85">
          <cell r="A85" t="str">
            <v>4B1146P49221</v>
          </cell>
          <cell r="D85" t="str">
            <v>LOCALIZAR</v>
          </cell>
          <cell r="E85" t="str">
            <v>EDIFICIO #1</v>
          </cell>
          <cell r="F85" t="str">
            <v>4B1146P49221</v>
          </cell>
          <cell r="H85" t="str">
            <v>UPS</v>
          </cell>
        </row>
        <row r="86">
          <cell r="A86" t="str">
            <v>3B1044X10040</v>
          </cell>
          <cell r="D86" t="str">
            <v>LOCALIZAR</v>
          </cell>
          <cell r="E86" t="str">
            <v>EDIFICIO #1</v>
          </cell>
          <cell r="F86" t="str">
            <v>3B1044X10040</v>
          </cell>
          <cell r="H86" t="str">
            <v>UPS</v>
          </cell>
        </row>
        <row r="87">
          <cell r="A87" t="str">
            <v>4B1215P29157</v>
          </cell>
          <cell r="D87" t="str">
            <v>QA (LIDERES DE AUDITORIA 200%)</v>
          </cell>
          <cell r="E87" t="str">
            <v>EDIFICIO #2</v>
          </cell>
          <cell r="F87" t="str">
            <v>4B1215P29157</v>
          </cell>
          <cell r="H87" t="str">
            <v>UPS</v>
          </cell>
        </row>
        <row r="88">
          <cell r="A88" t="str">
            <v>4B1128P49779</v>
          </cell>
          <cell r="D88" t="str">
            <v>LOCALIZAR</v>
          </cell>
          <cell r="E88" t="str">
            <v>EDIFICIO #1</v>
          </cell>
          <cell r="F88" t="str">
            <v>4B1128P49779</v>
          </cell>
          <cell r="H88" t="str">
            <v>UPS</v>
          </cell>
        </row>
        <row r="89">
          <cell r="A89" t="str">
            <v>4B1015P28602</v>
          </cell>
          <cell r="D89" t="str">
            <v>AREA DE LOCKERS (S/V HORNOS IZQ)</v>
          </cell>
          <cell r="E89" t="str">
            <v>EDIFICIO #1</v>
          </cell>
          <cell r="F89" t="str">
            <v>4B1015P28602</v>
          </cell>
          <cell r="H89" t="str">
            <v>UPS</v>
          </cell>
        </row>
        <row r="90">
          <cell r="A90" t="str">
            <v>4B1124P31821</v>
          </cell>
          <cell r="D90" t="str">
            <v>LOCALIZAR</v>
          </cell>
          <cell r="E90" t="str">
            <v>EDIFICIO #1</v>
          </cell>
          <cell r="F90" t="str">
            <v>4B1124P31821</v>
          </cell>
          <cell r="H90" t="str">
            <v>UPS</v>
          </cell>
        </row>
        <row r="91">
          <cell r="A91" t="str">
            <v>4B1015P26628</v>
          </cell>
          <cell r="D91" t="str">
            <v>QA (TSP)</v>
          </cell>
          <cell r="E91" t="str">
            <v>EDIFICIO #2</v>
          </cell>
          <cell r="F91" t="str">
            <v>4B1015P26628</v>
          </cell>
          <cell r="H91" t="str">
            <v>UPS</v>
          </cell>
        </row>
        <row r="92">
          <cell r="A92" t="str">
            <v>3B1128X24264</v>
          </cell>
          <cell r="D92" t="str">
            <v>LOCALIZAR</v>
          </cell>
          <cell r="E92" t="str">
            <v>EDIFICIO #1</v>
          </cell>
          <cell r="F92" t="str">
            <v>3B1128X24264</v>
          </cell>
          <cell r="H92" t="str">
            <v>UPS</v>
          </cell>
        </row>
        <row r="93">
          <cell r="A93" t="str">
            <v>4B1324P41148</v>
          </cell>
          <cell r="D93" t="str">
            <v>LOCALIZAR</v>
          </cell>
          <cell r="E93" t="str">
            <v>EDIFICIO #1</v>
          </cell>
          <cell r="F93" t="str">
            <v>4B1324P41148</v>
          </cell>
          <cell r="G93" t="str">
            <v>VERDE</v>
          </cell>
          <cell r="H93" t="str">
            <v>UPS</v>
          </cell>
        </row>
        <row r="94">
          <cell r="A94" t="str">
            <v>4B1015P22102</v>
          </cell>
          <cell r="D94" t="str">
            <v>HORNO 17 (SISTEMA SRK)</v>
          </cell>
          <cell r="E94" t="str">
            <v>EDIFICIO #2</v>
          </cell>
          <cell r="F94" t="str">
            <v>4B1015P22102</v>
          </cell>
          <cell r="G94" t="str">
            <v>VERDE</v>
          </cell>
          <cell r="H94" t="str">
            <v>UPS</v>
          </cell>
        </row>
        <row r="95">
          <cell r="A95" t="str">
            <v>3B1128X24257</v>
          </cell>
          <cell r="D95" t="str">
            <v>LOCALIZAR</v>
          </cell>
          <cell r="E95" t="str">
            <v>EDIFICIO #1</v>
          </cell>
          <cell r="F95" t="str">
            <v>3B1128X24257</v>
          </cell>
          <cell r="H95" t="str">
            <v>UPS</v>
          </cell>
        </row>
        <row r="96">
          <cell r="A96" t="str">
            <v>4B1146P47191</v>
          </cell>
          <cell r="D96" t="str">
            <v>CTRL DOCUMENTOS (SANDRA VAZQUEZ)</v>
          </cell>
          <cell r="E96" t="str">
            <v>EDIFICIO #1</v>
          </cell>
          <cell r="F96" t="str">
            <v>4B1146P47191</v>
          </cell>
          <cell r="H96" t="str">
            <v>UPS</v>
          </cell>
        </row>
        <row r="97">
          <cell r="A97" t="str">
            <v>4B1442P17831</v>
          </cell>
          <cell r="D97" t="str">
            <v>LOCALIZAR</v>
          </cell>
          <cell r="E97" t="str">
            <v>EDIFICIO #1</v>
          </cell>
          <cell r="F97" t="str">
            <v>4B1442P17831</v>
          </cell>
          <cell r="H97" t="str">
            <v>UPS</v>
          </cell>
        </row>
        <row r="98">
          <cell r="A98" t="str">
            <v>4B1442P17914</v>
          </cell>
          <cell r="D98" t="str">
            <v>LOCALIZAR</v>
          </cell>
          <cell r="E98" t="str">
            <v>EDIFICIO #1</v>
          </cell>
          <cell r="F98" t="str">
            <v>4B1442P17914</v>
          </cell>
          <cell r="G98" t="str">
            <v>VERDE</v>
          </cell>
          <cell r="H98" t="str">
            <v>UPS</v>
          </cell>
        </row>
        <row r="99">
          <cell r="A99" t="str">
            <v>4B1442P17913</v>
          </cell>
          <cell r="D99" t="str">
            <v>LOCALIZAR</v>
          </cell>
          <cell r="E99" t="str">
            <v>EDIFICIO #1</v>
          </cell>
          <cell r="F99" t="str">
            <v>4B1442P17913</v>
          </cell>
          <cell r="H99" t="str">
            <v>UPS</v>
          </cell>
        </row>
        <row r="100">
          <cell r="A100" t="str">
            <v>4B1442P17951</v>
          </cell>
          <cell r="D100" t="str">
            <v>LINEA 29 (SISTEMA SRK)</v>
          </cell>
          <cell r="E100" t="str">
            <v>EDIFICIO #2</v>
          </cell>
          <cell r="F100" t="str">
            <v>4B1442P17951</v>
          </cell>
          <cell r="G100" t="str">
            <v>VERDE</v>
          </cell>
          <cell r="H100" t="str">
            <v>UPS</v>
          </cell>
        </row>
        <row r="101">
          <cell r="A101" t="str">
            <v>4B1442P17968</v>
          </cell>
          <cell r="D101" t="str">
            <v>LOCALIZAR</v>
          </cell>
          <cell r="E101" t="str">
            <v>EDIFICIO #1</v>
          </cell>
          <cell r="F101" t="str">
            <v>4B1442P17968</v>
          </cell>
          <cell r="H101" t="str">
            <v>UPS</v>
          </cell>
        </row>
        <row r="102">
          <cell r="A102" t="str">
            <v>4B1442P17838</v>
          </cell>
          <cell r="D102" t="str">
            <v>LOCALIZAR</v>
          </cell>
          <cell r="E102" t="str">
            <v>EDIFICIO #1</v>
          </cell>
          <cell r="F102" t="str">
            <v>4B1442P17838</v>
          </cell>
          <cell r="H102" t="str">
            <v>UPS</v>
          </cell>
        </row>
        <row r="103">
          <cell r="A103" t="str">
            <v>4B1442P17851</v>
          </cell>
          <cell r="D103" t="str">
            <v>LOCALIZAR</v>
          </cell>
          <cell r="E103" t="str">
            <v>EDIFICIO #1</v>
          </cell>
          <cell r="F103" t="str">
            <v>4B1442P17851</v>
          </cell>
          <cell r="H103" t="str">
            <v>UPS</v>
          </cell>
        </row>
        <row r="104">
          <cell r="A104" t="str">
            <v>4B1442P17866</v>
          </cell>
          <cell r="D104" t="str">
            <v>LOCALIZAR</v>
          </cell>
          <cell r="E104" t="str">
            <v>EDIFICIO #1</v>
          </cell>
          <cell r="F104" t="str">
            <v>4B1442P17866</v>
          </cell>
          <cell r="G104" t="str">
            <v>VERDE</v>
          </cell>
          <cell r="H104" t="str">
            <v>UPS</v>
          </cell>
        </row>
        <row r="105">
          <cell r="A105" t="str">
            <v>4B1128P48563</v>
          </cell>
          <cell r="D105" t="str">
            <v>LOCALIZAR</v>
          </cell>
          <cell r="E105" t="str">
            <v>EDIFICIO #1</v>
          </cell>
          <cell r="F105" t="str">
            <v>4B1128P48563</v>
          </cell>
          <cell r="H105" t="str">
            <v>UPS</v>
          </cell>
        </row>
        <row r="106">
          <cell r="A106" t="str">
            <v>4B1128P49780</v>
          </cell>
          <cell r="D106" t="str">
            <v>LOCALIZAR</v>
          </cell>
          <cell r="E106" t="str">
            <v>EDIFICIO #1</v>
          </cell>
          <cell r="F106" t="str">
            <v>4B1128P49780</v>
          </cell>
          <cell r="H106" t="str">
            <v>UPS</v>
          </cell>
        </row>
        <row r="107">
          <cell r="A107" t="str">
            <v>4B1407P03344</v>
          </cell>
          <cell r="D107" t="str">
            <v>LOCALIZAR</v>
          </cell>
          <cell r="E107" t="str">
            <v>EDIFICIO #1</v>
          </cell>
          <cell r="F107" t="str">
            <v>4B1407P03344</v>
          </cell>
          <cell r="G107" t="str">
            <v>VERDE</v>
          </cell>
          <cell r="H107" t="str">
            <v>UPS</v>
          </cell>
        </row>
        <row r="108">
          <cell r="A108" t="str">
            <v>4B1015P10520</v>
          </cell>
          <cell r="D108" t="str">
            <v>LOCALIZAR</v>
          </cell>
          <cell r="E108" t="str">
            <v>EDIFICIO #1</v>
          </cell>
          <cell r="F108" t="str">
            <v>4B1015P10520</v>
          </cell>
          <cell r="G108" t="str">
            <v>VERDE</v>
          </cell>
          <cell r="H108" t="str">
            <v>UPS</v>
          </cell>
        </row>
        <row r="109">
          <cell r="A109" t="str">
            <v>4B1015P22391</v>
          </cell>
          <cell r="D109" t="str">
            <v>LOCALIZAR</v>
          </cell>
          <cell r="E109" t="str">
            <v>EDIFICIO #1</v>
          </cell>
          <cell r="F109" t="str">
            <v>4B1015P22391</v>
          </cell>
          <cell r="H109" t="str">
            <v>UPS</v>
          </cell>
        </row>
        <row r="110">
          <cell r="A110" t="str">
            <v>4B1015P10593</v>
          </cell>
          <cell r="D110" t="str">
            <v>LOCALIZAR</v>
          </cell>
          <cell r="E110" t="str">
            <v>EDIFICIO #1</v>
          </cell>
          <cell r="F110" t="str">
            <v>4B1015P10593</v>
          </cell>
          <cell r="H110" t="str">
            <v>UPS</v>
          </cell>
        </row>
        <row r="111">
          <cell r="A111" t="str">
            <v>4B1128P49730</v>
          </cell>
          <cell r="D111" t="str">
            <v>LOCALIZAR</v>
          </cell>
          <cell r="E111" t="str">
            <v>EDIFICIO #1</v>
          </cell>
          <cell r="F111" t="str">
            <v>4B1128P49730</v>
          </cell>
          <cell r="H111" t="str">
            <v>UPS</v>
          </cell>
        </row>
        <row r="112">
          <cell r="A112" t="str">
            <v>4B1324P40953</v>
          </cell>
          <cell r="D112" t="str">
            <v>LOCALIZAR</v>
          </cell>
          <cell r="E112" t="str">
            <v>EDIFICIO #1</v>
          </cell>
          <cell r="F112" t="str">
            <v>4B1324P40953</v>
          </cell>
          <cell r="G112" t="str">
            <v>VERDE</v>
          </cell>
          <cell r="H112" t="str">
            <v>UPS</v>
          </cell>
        </row>
        <row r="113">
          <cell r="A113" t="str">
            <v>4B1324P40947</v>
          </cell>
          <cell r="D113" t="str">
            <v>LOCALIZAR</v>
          </cell>
          <cell r="E113" t="str">
            <v>EDIFICIO #1</v>
          </cell>
          <cell r="F113" t="str">
            <v>4B1324P40947</v>
          </cell>
          <cell r="G113" t="str">
            <v>VERDE</v>
          </cell>
          <cell r="H113" t="str">
            <v>UPS</v>
          </cell>
        </row>
        <row r="114">
          <cell r="A114" t="str">
            <v>4B1350P58563</v>
          </cell>
          <cell r="D114" t="str">
            <v>LOCALIZAR</v>
          </cell>
          <cell r="E114" t="str">
            <v>EDIFICIO #1</v>
          </cell>
          <cell r="F114" t="str">
            <v>4B1350P58563</v>
          </cell>
          <cell r="H114" t="str">
            <v>UPS</v>
          </cell>
        </row>
        <row r="115">
          <cell r="A115" t="str">
            <v>4B1510P07535</v>
          </cell>
          <cell r="D115" t="str">
            <v>LOCALIZAR</v>
          </cell>
          <cell r="E115" t="str">
            <v>EDIFICIO #1</v>
          </cell>
          <cell r="F115" t="str">
            <v>4B1510P07535</v>
          </cell>
          <cell r="G115" t="str">
            <v>VERDE</v>
          </cell>
          <cell r="H115" t="str">
            <v>UPS</v>
          </cell>
        </row>
        <row r="116">
          <cell r="A116" t="str">
            <v>4B1508P05782</v>
          </cell>
          <cell r="D116" t="str">
            <v>LOCALIZAR</v>
          </cell>
          <cell r="E116" t="str">
            <v>EDIFICIO #1</v>
          </cell>
          <cell r="F116" t="str">
            <v>4B1508P05782</v>
          </cell>
          <cell r="G116" t="str">
            <v>VERDE</v>
          </cell>
          <cell r="H116" t="str">
            <v>UPS</v>
          </cell>
        </row>
        <row r="117">
          <cell r="A117" t="str">
            <v>4B1508P05614</v>
          </cell>
          <cell r="D117" t="str">
            <v>LOCALIZAR</v>
          </cell>
          <cell r="E117" t="str">
            <v>EDIFICIO #1</v>
          </cell>
          <cell r="F117" t="str">
            <v>4B1508P05614</v>
          </cell>
          <cell r="H117" t="str">
            <v>UPS</v>
          </cell>
        </row>
        <row r="118">
          <cell r="A118" t="str">
            <v>4B1508P05623</v>
          </cell>
          <cell r="D118" t="str">
            <v>LOCALIZAR</v>
          </cell>
          <cell r="E118" t="str">
            <v>EDIFICIO #1</v>
          </cell>
          <cell r="F118" t="str">
            <v>4B1508P05623</v>
          </cell>
          <cell r="H118" t="str">
            <v>UPS</v>
          </cell>
        </row>
        <row r="119">
          <cell r="A119" t="str">
            <v>4B1508P03448</v>
          </cell>
          <cell r="D119" t="str">
            <v>AUTOCLAVE 3 (SISTEMA SRK)</v>
          </cell>
          <cell r="E119" t="str">
            <v>EDIFICIO #1</v>
          </cell>
          <cell r="F119" t="str">
            <v>4B1508P03448</v>
          </cell>
          <cell r="H119" t="str">
            <v>UPS</v>
          </cell>
        </row>
        <row r="120">
          <cell r="A120" t="str">
            <v>4B1508P03441</v>
          </cell>
          <cell r="D120" t="str">
            <v>LOCALIZAR</v>
          </cell>
          <cell r="E120" t="str">
            <v>EDIFICIO #1</v>
          </cell>
          <cell r="F120" t="str">
            <v>4B1508P03441</v>
          </cell>
          <cell r="G120" t="str">
            <v>VERDE</v>
          </cell>
          <cell r="H120" t="str">
            <v>UPS</v>
          </cell>
        </row>
        <row r="121">
          <cell r="A121" t="str">
            <v>4B1508P05815</v>
          </cell>
          <cell r="D121" t="str">
            <v>CAMPANA Y PLASMA (SISTEMA SRK)</v>
          </cell>
          <cell r="E121" t="str">
            <v>EDIFICIO #1</v>
          </cell>
          <cell r="F121" t="str">
            <v>4B1508P05815</v>
          </cell>
          <cell r="H121" t="str">
            <v>UPS</v>
          </cell>
        </row>
        <row r="122">
          <cell r="A122" t="str">
            <v>4B1508P05779</v>
          </cell>
          <cell r="D122" t="str">
            <v>EHS (CAPTURISTA DE SCRAP)</v>
          </cell>
          <cell r="E122" t="str">
            <v>EDIFICIO #2</v>
          </cell>
          <cell r="F122" t="str">
            <v>4B1508P05779</v>
          </cell>
          <cell r="G122" t="str">
            <v>VERDE</v>
          </cell>
          <cell r="H122" t="str">
            <v>UPS</v>
          </cell>
        </row>
        <row r="123">
          <cell r="A123" t="str">
            <v>4B1543P32001</v>
          </cell>
          <cell r="D123" t="str">
            <v>LOCALIZAR</v>
          </cell>
          <cell r="E123" t="str">
            <v>EDIFICIO #1</v>
          </cell>
          <cell r="F123" t="str">
            <v>4B1543P32001</v>
          </cell>
          <cell r="H123" t="str">
            <v>UPS</v>
          </cell>
        </row>
        <row r="124">
          <cell r="A124" t="str">
            <v>4B1543P32033</v>
          </cell>
          <cell r="D124" t="str">
            <v>LOCALIZAR</v>
          </cell>
          <cell r="E124" t="str">
            <v>EDIFICIO #1</v>
          </cell>
          <cell r="F124" t="str">
            <v>4B1543P32033</v>
          </cell>
          <cell r="H124" t="str">
            <v>UPS</v>
          </cell>
        </row>
        <row r="125">
          <cell r="A125" t="str">
            <v>4B1518P43330</v>
          </cell>
          <cell r="D125" t="str">
            <v>LOCALIZAR</v>
          </cell>
          <cell r="E125" t="str">
            <v>EDIFICIO #1</v>
          </cell>
          <cell r="F125" t="str">
            <v>4B1518P43330</v>
          </cell>
          <cell r="H125" t="str">
            <v>UPS</v>
          </cell>
        </row>
        <row r="126">
          <cell r="A126" t="str">
            <v>4B1518P43326</v>
          </cell>
          <cell r="D126" t="str">
            <v>PASSTHROUGH (SISTEMA SRK)</v>
          </cell>
          <cell r="E126" t="str">
            <v>EDIFICIO #2</v>
          </cell>
          <cell r="F126" t="str">
            <v>4B1518P43326</v>
          </cell>
          <cell r="H126" t="str">
            <v>UPS</v>
          </cell>
        </row>
        <row r="127">
          <cell r="A127" t="str">
            <v>4B1519P47249</v>
          </cell>
          <cell r="D127" t="str">
            <v>LOCALIZAR</v>
          </cell>
          <cell r="E127" t="str">
            <v>EDIFICIO #1</v>
          </cell>
          <cell r="F127" t="str">
            <v>4B1519P47249</v>
          </cell>
          <cell r="H127" t="str">
            <v>UPS</v>
          </cell>
        </row>
        <row r="128">
          <cell r="A128" t="str">
            <v>4B1519P47323</v>
          </cell>
          <cell r="D128" t="str">
            <v>LOCALIZAR</v>
          </cell>
          <cell r="E128" t="str">
            <v>EDIFICIO #1</v>
          </cell>
          <cell r="F128" t="str">
            <v>4B1519P47323</v>
          </cell>
          <cell r="H128" t="str">
            <v>UPS</v>
          </cell>
        </row>
        <row r="129">
          <cell r="A129" t="str">
            <v>4B1510P07218</v>
          </cell>
          <cell r="D129" t="str">
            <v>LOCALIZAR</v>
          </cell>
          <cell r="E129" t="str">
            <v>EDIFICIO #1</v>
          </cell>
          <cell r="F129" t="str">
            <v>4B1510P07218</v>
          </cell>
          <cell r="H129" t="str">
            <v>UPS</v>
          </cell>
        </row>
        <row r="130">
          <cell r="A130" t="str">
            <v>4B1510P08226</v>
          </cell>
          <cell r="D130" t="str">
            <v>LOCALIZAR</v>
          </cell>
          <cell r="E130" t="str">
            <v>EDIFICIO #1</v>
          </cell>
          <cell r="F130" t="str">
            <v>4B1510P08226</v>
          </cell>
          <cell r="G130" t="str">
            <v>VERDE</v>
          </cell>
          <cell r="H130" t="str">
            <v>UPS</v>
          </cell>
        </row>
        <row r="131">
          <cell r="A131" t="str">
            <v>4B1510P08207</v>
          </cell>
          <cell r="D131" t="str">
            <v>LOCALIZAR</v>
          </cell>
          <cell r="E131" t="str">
            <v>EDIFICIO #1</v>
          </cell>
          <cell r="F131" t="str">
            <v>4B1510P08207</v>
          </cell>
          <cell r="G131" t="str">
            <v>VERDE</v>
          </cell>
          <cell r="H131" t="str">
            <v>UPS</v>
          </cell>
        </row>
        <row r="132">
          <cell r="A132" t="str">
            <v>4B1510P08204</v>
          </cell>
          <cell r="D132" t="str">
            <v>LOCALIZAR</v>
          </cell>
          <cell r="E132" t="str">
            <v>EDIFICIO #1</v>
          </cell>
          <cell r="F132" t="str">
            <v>4B1510P08204</v>
          </cell>
          <cell r="H132" t="str">
            <v>UPS</v>
          </cell>
        </row>
        <row r="133">
          <cell r="A133" t="str">
            <v>4B1510P08209</v>
          </cell>
          <cell r="D133" t="str">
            <v>LOCALIZAR</v>
          </cell>
          <cell r="E133" t="str">
            <v>EDIFICIO #1</v>
          </cell>
          <cell r="F133" t="str">
            <v>4B1510P08209</v>
          </cell>
          <cell r="H133" t="str">
            <v>UPS</v>
          </cell>
        </row>
        <row r="134">
          <cell r="A134" t="str">
            <v>4B1541P30414</v>
          </cell>
          <cell r="D134" t="str">
            <v>LOCALIZAR</v>
          </cell>
          <cell r="E134" t="str">
            <v>EDIFICIO #1</v>
          </cell>
          <cell r="F134" t="str">
            <v>4B1541P30414</v>
          </cell>
          <cell r="H134" t="str">
            <v>UPS</v>
          </cell>
        </row>
        <row r="135">
          <cell r="A135" t="str">
            <v>4B1541P30336</v>
          </cell>
          <cell r="D135" t="str">
            <v>INCOMING</v>
          </cell>
          <cell r="E135" t="str">
            <v>EDIFICIO #2</v>
          </cell>
          <cell r="F135" t="str">
            <v>4B1541P30336</v>
          </cell>
          <cell r="H135" t="str">
            <v>UPS</v>
          </cell>
        </row>
        <row r="136">
          <cell r="A136" t="str">
            <v>4B1510P06296</v>
          </cell>
          <cell r="D136" t="str">
            <v>LOCALIZAR</v>
          </cell>
          <cell r="E136" t="str">
            <v>EDIFICIO #1</v>
          </cell>
          <cell r="F136" t="str">
            <v>4B1510P06296</v>
          </cell>
          <cell r="H136" t="str">
            <v>UPS</v>
          </cell>
        </row>
        <row r="137">
          <cell r="A137" t="str">
            <v>4B1510P06308</v>
          </cell>
          <cell r="D137" t="str">
            <v>LOCALIZAR</v>
          </cell>
          <cell r="E137" t="str">
            <v>EDIFICIO #1</v>
          </cell>
          <cell r="F137" t="str">
            <v>4B1510P06308</v>
          </cell>
          <cell r="G137" t="str">
            <v>VERDE</v>
          </cell>
          <cell r="H137" t="str">
            <v>UPS</v>
          </cell>
        </row>
        <row r="138">
          <cell r="A138" t="str">
            <v>4B1544P34410</v>
          </cell>
          <cell r="D138" t="str">
            <v>LOCALIZAR</v>
          </cell>
          <cell r="E138" t="str">
            <v>EDIFICIO #1</v>
          </cell>
          <cell r="F138" t="str">
            <v>4B1544P34410</v>
          </cell>
          <cell r="H138" t="str">
            <v>UPS</v>
          </cell>
        </row>
        <row r="139">
          <cell r="A139" t="str">
            <v>4B1544P34409</v>
          </cell>
          <cell r="D139" t="str">
            <v>LOCALIZAR</v>
          </cell>
          <cell r="E139" t="str">
            <v>EDIFICIO #1</v>
          </cell>
          <cell r="F139" t="str">
            <v>4B1544P34409</v>
          </cell>
          <cell r="H139" t="str">
            <v>UPS</v>
          </cell>
        </row>
        <row r="140">
          <cell r="A140" t="str">
            <v>4B1543P33243</v>
          </cell>
          <cell r="D140" t="str">
            <v>LOCALIZAR</v>
          </cell>
          <cell r="E140" t="str">
            <v>EDIFICIO #1</v>
          </cell>
          <cell r="F140" t="str">
            <v>4B1543P33243</v>
          </cell>
          <cell r="H140" t="str">
            <v>UPS</v>
          </cell>
        </row>
        <row r="141">
          <cell r="A141" t="str">
            <v>4B1543P33154</v>
          </cell>
          <cell r="D141" t="str">
            <v>LOCALIZAR</v>
          </cell>
          <cell r="E141" t="str">
            <v>EDIFICIO #1</v>
          </cell>
          <cell r="F141" t="str">
            <v>4B1543P33154</v>
          </cell>
          <cell r="G141" t="str">
            <v>VERDE</v>
          </cell>
          <cell r="H141" t="str">
            <v>UPS</v>
          </cell>
        </row>
        <row r="142">
          <cell r="A142" t="str">
            <v>4B1543P33132</v>
          </cell>
          <cell r="D142" t="str">
            <v>LOCALIZAR</v>
          </cell>
          <cell r="E142" t="str">
            <v>EDIFICIO #1</v>
          </cell>
          <cell r="F142" t="str">
            <v>4B1543P33132</v>
          </cell>
          <cell r="G142" t="str">
            <v>VERDE</v>
          </cell>
          <cell r="H142" t="str">
            <v>UPS</v>
          </cell>
        </row>
        <row r="143">
          <cell r="A143" t="str">
            <v>4B1613P65739</v>
          </cell>
          <cell r="D143" t="str">
            <v>LOCALIZAR</v>
          </cell>
          <cell r="E143" t="str">
            <v>EDIFICIO #1</v>
          </cell>
          <cell r="F143" t="str">
            <v>4B1613P65739</v>
          </cell>
          <cell r="H143" t="str">
            <v>UPS</v>
          </cell>
        </row>
        <row r="144">
          <cell r="A144" t="str">
            <v>4B1613P63260</v>
          </cell>
          <cell r="D144" t="str">
            <v>CAMARA DE VIGILANCIA MEZZANINE APQP</v>
          </cell>
          <cell r="E144" t="str">
            <v>EDIFICIO #1</v>
          </cell>
          <cell r="F144" t="str">
            <v>4B1613P63260</v>
          </cell>
          <cell r="G144" t="str">
            <v>VERDE</v>
          </cell>
          <cell r="H144" t="str">
            <v>UPS</v>
          </cell>
        </row>
        <row r="145">
          <cell r="A145" t="str">
            <v>4B1613P65791</v>
          </cell>
          <cell r="D145" t="str">
            <v>LOCALIZAR</v>
          </cell>
          <cell r="E145" t="str">
            <v>EDIFICIO #1</v>
          </cell>
          <cell r="F145" t="str">
            <v>4B1613P65791</v>
          </cell>
          <cell r="H145" t="str">
            <v>UPS</v>
          </cell>
        </row>
        <row r="146">
          <cell r="A146" t="str">
            <v>4B1613P66739</v>
          </cell>
          <cell r="D146" t="str">
            <v>LOCALIZAR</v>
          </cell>
          <cell r="E146" t="str">
            <v>EDIFICIO #1</v>
          </cell>
          <cell r="F146" t="str">
            <v>4B1613P66739</v>
          </cell>
          <cell r="H146" t="str">
            <v>UPS</v>
          </cell>
        </row>
        <row r="147">
          <cell r="A147" t="str">
            <v>4B1614P15353</v>
          </cell>
          <cell r="D147" t="str">
            <v>LOCALIZAR</v>
          </cell>
          <cell r="E147" t="str">
            <v>EDIFICIO #1</v>
          </cell>
          <cell r="F147" t="str">
            <v>4B1614P15353</v>
          </cell>
          <cell r="G147" t="str">
            <v>VERDE</v>
          </cell>
          <cell r="H147" t="str">
            <v>UPS</v>
          </cell>
        </row>
        <row r="148">
          <cell r="A148" t="str">
            <v>4B1635P02286</v>
          </cell>
          <cell r="D148" t="str">
            <v>LOCALIZAR</v>
          </cell>
          <cell r="E148" t="str">
            <v>EDIFICIO #1</v>
          </cell>
          <cell r="F148" t="str">
            <v>4B1635P02286</v>
          </cell>
          <cell r="G148" t="str">
            <v>VERDE</v>
          </cell>
          <cell r="H148" t="str">
            <v>UPS</v>
          </cell>
        </row>
        <row r="149">
          <cell r="A149" t="str">
            <v>4B1635P02276</v>
          </cell>
          <cell r="D149" t="str">
            <v>OF DE ING (MANTENIMIENTO)</v>
          </cell>
          <cell r="E149" t="str">
            <v>EDIFICIO #2</v>
          </cell>
          <cell r="F149" t="str">
            <v>4B1635P02276</v>
          </cell>
          <cell r="H149" t="str">
            <v>UPS</v>
          </cell>
        </row>
        <row r="150">
          <cell r="A150" t="str">
            <v>4B1636P45597</v>
          </cell>
          <cell r="D150" t="str">
            <v>LOCALIZAR</v>
          </cell>
          <cell r="E150" t="str">
            <v>EDIFICIO #1</v>
          </cell>
          <cell r="F150" t="str">
            <v>4B1636P45597</v>
          </cell>
          <cell r="H150" t="str">
            <v>UPS</v>
          </cell>
        </row>
        <row r="151">
          <cell r="A151" t="str">
            <v>4B1636P45196</v>
          </cell>
          <cell r="D151" t="str">
            <v>LOCALIZAR</v>
          </cell>
          <cell r="E151" t="str">
            <v>EDIFICIO #1</v>
          </cell>
          <cell r="F151" t="str">
            <v>4B1636P45196</v>
          </cell>
          <cell r="H151" t="str">
            <v>UPS</v>
          </cell>
        </row>
        <row r="152">
          <cell r="A152" t="str">
            <v>4B1636P45279</v>
          </cell>
          <cell r="D152" t="str">
            <v>LOCALIZAR</v>
          </cell>
          <cell r="E152" t="str">
            <v>EDIFICIO #1</v>
          </cell>
          <cell r="F152" t="str">
            <v>4B1636P45279</v>
          </cell>
          <cell r="G152" t="str">
            <v>VERDE</v>
          </cell>
          <cell r="H152" t="str">
            <v>UPS</v>
          </cell>
        </row>
        <row r="153">
          <cell r="A153" t="str">
            <v>4B1636P45294</v>
          </cell>
          <cell r="D153" t="str">
            <v>LOCALIZAR</v>
          </cell>
          <cell r="E153" t="str">
            <v>EDIFICIO #1</v>
          </cell>
          <cell r="F153" t="str">
            <v>4B1636P45294</v>
          </cell>
          <cell r="H153" t="str">
            <v>UPS</v>
          </cell>
        </row>
        <row r="154">
          <cell r="A154" t="str">
            <v>4B1638P38531</v>
          </cell>
          <cell r="D154" t="str">
            <v>LOCALIZAR</v>
          </cell>
          <cell r="E154" t="str">
            <v>EDIFICIO #1</v>
          </cell>
          <cell r="F154" t="str">
            <v>4B1638P38531</v>
          </cell>
          <cell r="G154" t="str">
            <v>VERDE</v>
          </cell>
          <cell r="H154" t="str">
            <v>UPS</v>
          </cell>
        </row>
        <row r="155">
          <cell r="A155" t="str">
            <v>4B1638P37040</v>
          </cell>
          <cell r="D155" t="str">
            <v>LOCALIZAR</v>
          </cell>
          <cell r="E155" t="str">
            <v>EDIFICIO #1</v>
          </cell>
          <cell r="F155" t="str">
            <v>4B1638P37040</v>
          </cell>
          <cell r="G155" t="str">
            <v>VERDE</v>
          </cell>
          <cell r="H155" t="str">
            <v>UPS</v>
          </cell>
        </row>
        <row r="156">
          <cell r="A156" t="str">
            <v>4B1638P36926</v>
          </cell>
          <cell r="D156" t="str">
            <v>LOCALIZAR</v>
          </cell>
          <cell r="E156" t="str">
            <v>EDIFICIO #1</v>
          </cell>
          <cell r="F156" t="str">
            <v>4B1638P36926</v>
          </cell>
          <cell r="H156" t="str">
            <v>UPS</v>
          </cell>
        </row>
        <row r="157">
          <cell r="A157" t="str">
            <v>4B1638P36932</v>
          </cell>
          <cell r="D157" t="str">
            <v>LOCALIZAR</v>
          </cell>
          <cell r="E157" t="str">
            <v>EDIFICIO #1</v>
          </cell>
          <cell r="F157" t="str">
            <v>4B1638P36932</v>
          </cell>
          <cell r="H157" t="str">
            <v>UPS</v>
          </cell>
        </row>
        <row r="158">
          <cell r="A158" t="str">
            <v>4B1638P35219</v>
          </cell>
          <cell r="D158" t="str">
            <v>LOCALIZAR</v>
          </cell>
          <cell r="E158" t="str">
            <v>EDIFICIO #1</v>
          </cell>
          <cell r="F158" t="str">
            <v>4B1638P35219</v>
          </cell>
          <cell r="H158" t="str">
            <v>UPS</v>
          </cell>
        </row>
        <row r="159">
          <cell r="A159" t="str">
            <v>4B1638P35214</v>
          </cell>
          <cell r="D159" t="str">
            <v>LOCALIZAR</v>
          </cell>
          <cell r="E159" t="str">
            <v>EDIFICIO #1</v>
          </cell>
          <cell r="F159" t="str">
            <v>4B1638P35214</v>
          </cell>
          <cell r="G159" t="str">
            <v>VERDE</v>
          </cell>
          <cell r="H159" t="str">
            <v>UPS</v>
          </cell>
        </row>
        <row r="160">
          <cell r="A160" t="str">
            <v>4B1642P30242</v>
          </cell>
          <cell r="D160" t="str">
            <v>CTRL DOCUMENTOS (CTRL DOCS #2)</v>
          </cell>
          <cell r="E160" t="str">
            <v>EDIFICIO #1</v>
          </cell>
          <cell r="F160" t="str">
            <v>4B1642P30242</v>
          </cell>
          <cell r="G160" t="str">
            <v>VERDE</v>
          </cell>
          <cell r="H160" t="str">
            <v>UPS</v>
          </cell>
        </row>
        <row r="161">
          <cell r="A161" t="str">
            <v>4B1642P30287</v>
          </cell>
          <cell r="D161" t="str">
            <v>LOCALIZAR</v>
          </cell>
          <cell r="E161" t="str">
            <v>EDIFICIO #1</v>
          </cell>
          <cell r="F161" t="str">
            <v>4B1642P30287</v>
          </cell>
          <cell r="H161" t="str">
            <v>UPS</v>
          </cell>
        </row>
        <row r="162">
          <cell r="A162" t="str">
            <v>4B1636P47098</v>
          </cell>
          <cell r="D162" t="str">
            <v>LOCALIZAR</v>
          </cell>
          <cell r="E162" t="str">
            <v>EDIFICIO #1</v>
          </cell>
          <cell r="F162" t="str">
            <v>4B1636P47098</v>
          </cell>
          <cell r="H162" t="str">
            <v>UPS</v>
          </cell>
        </row>
        <row r="163">
          <cell r="A163" t="str">
            <v>4B1636P47080</v>
          </cell>
          <cell r="D163" t="str">
            <v>LOCALIZAR</v>
          </cell>
          <cell r="E163" t="str">
            <v>EDIFICIO #1</v>
          </cell>
          <cell r="F163" t="str">
            <v>4B1636P47080</v>
          </cell>
          <cell r="H163" t="str">
            <v>UPS</v>
          </cell>
        </row>
        <row r="164">
          <cell r="A164" t="str">
            <v>4B1711P11636</v>
          </cell>
          <cell r="D164" t="str">
            <v>LOCALIZAR</v>
          </cell>
          <cell r="E164" t="str">
            <v>EDIFICIO #1</v>
          </cell>
          <cell r="F164" t="str">
            <v>4B1711P11636</v>
          </cell>
          <cell r="H164" t="str">
            <v>UPS</v>
          </cell>
        </row>
        <row r="165">
          <cell r="A165" t="str">
            <v>4B1711P11641</v>
          </cell>
          <cell r="D165" t="str">
            <v>LOCALIZAR</v>
          </cell>
          <cell r="E165" t="str">
            <v>EDIFICIO #1</v>
          </cell>
          <cell r="F165" t="str">
            <v>4B1711P11641</v>
          </cell>
          <cell r="H165" t="str">
            <v>UPS</v>
          </cell>
        </row>
        <row r="166">
          <cell r="A166" t="str">
            <v>4B1711P12982</v>
          </cell>
          <cell r="D166" t="str">
            <v>LOCALIZAR</v>
          </cell>
          <cell r="E166" t="str">
            <v>EDIFICIO #1</v>
          </cell>
          <cell r="F166" t="str">
            <v>4B1711P12982</v>
          </cell>
          <cell r="G166" t="str">
            <v>VERDE</v>
          </cell>
          <cell r="H166" t="str">
            <v>UPS</v>
          </cell>
        </row>
        <row r="167">
          <cell r="A167" t="str">
            <v>4B1711P12990</v>
          </cell>
          <cell r="D167" t="str">
            <v>LOCALIZAR</v>
          </cell>
          <cell r="E167" t="str">
            <v>EDIFICIO #1</v>
          </cell>
          <cell r="F167" t="str">
            <v>4B1711P12990</v>
          </cell>
          <cell r="H167" t="str">
            <v>UPS</v>
          </cell>
        </row>
        <row r="168">
          <cell r="A168" t="str">
            <v>4B1711P14193</v>
          </cell>
          <cell r="D168" t="str">
            <v>LOCALIZAR</v>
          </cell>
          <cell r="E168" t="str">
            <v>EDIFICIO #1</v>
          </cell>
          <cell r="F168" t="str">
            <v>4B1711P14193</v>
          </cell>
          <cell r="H168" t="str">
            <v>UPS</v>
          </cell>
        </row>
        <row r="169">
          <cell r="A169" t="str">
            <v>4B1711P14339</v>
          </cell>
          <cell r="D169" t="str">
            <v>LOCALIZAR</v>
          </cell>
          <cell r="E169" t="str">
            <v>EDIFICIO #1</v>
          </cell>
          <cell r="F169" t="str">
            <v>4B1711P14339</v>
          </cell>
          <cell r="G169" t="str">
            <v>VERDE</v>
          </cell>
          <cell r="H169" t="str">
            <v>UPS</v>
          </cell>
        </row>
        <row r="170">
          <cell r="A170" t="str">
            <v>4B1738P34064</v>
          </cell>
          <cell r="D170" t="str">
            <v>LOCALIZAR</v>
          </cell>
          <cell r="E170" t="str">
            <v>EDIFICIO #1</v>
          </cell>
          <cell r="F170" t="str">
            <v>4B1738P34064</v>
          </cell>
          <cell r="H170" t="str">
            <v>UPS</v>
          </cell>
        </row>
        <row r="171">
          <cell r="A171" t="str">
            <v>4B1738P34033</v>
          </cell>
          <cell r="D171" t="str">
            <v>BODEGA PT (PC(LIDER))</v>
          </cell>
          <cell r="E171" t="str">
            <v>EDIFICIO BPT</v>
          </cell>
          <cell r="F171" t="str">
            <v>4B1738P34033</v>
          </cell>
          <cell r="H171" t="str">
            <v>UPS</v>
          </cell>
        </row>
        <row r="172">
          <cell r="A172" t="str">
            <v>4B1738P34153</v>
          </cell>
          <cell r="D172" t="str">
            <v>BODEGA PT (IFS/DAYTECH)</v>
          </cell>
          <cell r="E172" t="str">
            <v>EDIFICIO BPT</v>
          </cell>
          <cell r="F172" t="str">
            <v>4B1738P34153</v>
          </cell>
          <cell r="H172" t="str">
            <v>UPS</v>
          </cell>
        </row>
        <row r="173">
          <cell r="A173" t="str">
            <v>4B1738P34080</v>
          </cell>
          <cell r="D173" t="str">
            <v>LOCALIZAR</v>
          </cell>
          <cell r="E173" t="str">
            <v>EDIFICIO #1</v>
          </cell>
          <cell r="F173" t="str">
            <v>4B1738P34080</v>
          </cell>
          <cell r="H173" t="str">
            <v>UPS</v>
          </cell>
        </row>
        <row r="174">
          <cell r="A174" t="str">
            <v>4B1712P39701</v>
          </cell>
          <cell r="D174" t="str">
            <v>LOCALIZAR</v>
          </cell>
          <cell r="E174" t="str">
            <v>EDIFICIO #1</v>
          </cell>
          <cell r="F174" t="str">
            <v>4B1712P39701</v>
          </cell>
          <cell r="H174" t="str">
            <v>UPS</v>
          </cell>
        </row>
        <row r="175">
          <cell r="A175" t="str">
            <v>4B1712P40852</v>
          </cell>
          <cell r="D175" t="str">
            <v>LOCALIZAR</v>
          </cell>
          <cell r="E175" t="str">
            <v>EDIFICIO #1</v>
          </cell>
          <cell r="F175" t="str">
            <v>4B1712P40852</v>
          </cell>
          <cell r="G175" t="str">
            <v>VERDE</v>
          </cell>
          <cell r="H175" t="str">
            <v>UPS</v>
          </cell>
        </row>
        <row r="176">
          <cell r="A176" t="str">
            <v>4B1816P41722</v>
          </cell>
          <cell r="D176" t="str">
            <v>LOCALIZAR</v>
          </cell>
          <cell r="E176" t="str">
            <v>EDIFICIO #1</v>
          </cell>
          <cell r="F176" t="str">
            <v>4B1816P41722</v>
          </cell>
          <cell r="H176" t="str">
            <v>UPS</v>
          </cell>
        </row>
        <row r="177">
          <cell r="A177" t="str">
            <v>4B1821P03680</v>
          </cell>
          <cell r="D177" t="str">
            <v>LOCALIZAR</v>
          </cell>
          <cell r="E177" t="str">
            <v>EDIFICIO #1</v>
          </cell>
          <cell r="F177" t="str">
            <v>4B1821P03680</v>
          </cell>
          <cell r="G177" t="str">
            <v>VERDE</v>
          </cell>
          <cell r="H177" t="str">
            <v>UPS</v>
          </cell>
        </row>
        <row r="178">
          <cell r="A178" t="str">
            <v>4B1816P42619</v>
          </cell>
          <cell r="D178" t="str">
            <v>LINEA 19 (SISTEMA SRK)</v>
          </cell>
          <cell r="E178" t="str">
            <v>EDIFICIO #2</v>
          </cell>
          <cell r="F178" t="str">
            <v>4B1816P42619</v>
          </cell>
          <cell r="H178" t="str">
            <v>UPS</v>
          </cell>
        </row>
        <row r="179">
          <cell r="A179" t="str">
            <v>4B1821P03676</v>
          </cell>
          <cell r="D179" t="str">
            <v>CONECTORES 105 (SISTEMA SRK)</v>
          </cell>
          <cell r="E179" t="str">
            <v>EDIFICIO #1</v>
          </cell>
          <cell r="F179" t="str">
            <v>4B1821P03676</v>
          </cell>
          <cell r="G179" t="str">
            <v>VERDE</v>
          </cell>
          <cell r="H179" t="str">
            <v>UPS</v>
          </cell>
        </row>
        <row r="180">
          <cell r="A180" t="str">
            <v>4B1831P17653</v>
          </cell>
          <cell r="D180" t="str">
            <v>LOCALIZAR</v>
          </cell>
          <cell r="E180" t="str">
            <v>EDIFICIO #1</v>
          </cell>
          <cell r="F180" t="str">
            <v>4B1831P17653</v>
          </cell>
          <cell r="G180" t="str">
            <v>VERDE</v>
          </cell>
          <cell r="H180" t="str">
            <v>UPS</v>
          </cell>
        </row>
        <row r="181">
          <cell r="A181" t="str">
            <v>4B1831P17618</v>
          </cell>
          <cell r="D181" t="str">
            <v>LOCALIZAR</v>
          </cell>
          <cell r="E181" t="str">
            <v>EDIFICIO #1</v>
          </cell>
          <cell r="F181" t="str">
            <v>4B1831P17618</v>
          </cell>
          <cell r="H181" t="str">
            <v>UPS</v>
          </cell>
        </row>
        <row r="182">
          <cell r="A182" t="str">
            <v>4B1836P13693</v>
          </cell>
          <cell r="D182" t="str">
            <v>LOCALIZAR</v>
          </cell>
          <cell r="E182" t="str">
            <v>EDIFICIO #1</v>
          </cell>
          <cell r="F182" t="str">
            <v>4B1836P13693</v>
          </cell>
          <cell r="G182" t="str">
            <v>VERDE</v>
          </cell>
          <cell r="H182" t="str">
            <v>UPS</v>
          </cell>
        </row>
        <row r="183">
          <cell r="A183" t="str">
            <v>4B1836P13698</v>
          </cell>
          <cell r="D183" t="str">
            <v>LOCALIZAR</v>
          </cell>
          <cell r="E183" t="str">
            <v>EDIFICIO #1</v>
          </cell>
          <cell r="F183" t="str">
            <v>4B1836P13698</v>
          </cell>
          <cell r="G183" t="str">
            <v>VERDE</v>
          </cell>
          <cell r="H183" t="str">
            <v>UPS</v>
          </cell>
        </row>
        <row r="184">
          <cell r="A184" t="str">
            <v>4B1831P17796</v>
          </cell>
          <cell r="D184" t="str">
            <v>LOCALIZAR</v>
          </cell>
          <cell r="E184" t="str">
            <v>EDIFICIO #1</v>
          </cell>
          <cell r="F184" t="str">
            <v>4B1831P17796</v>
          </cell>
          <cell r="H184" t="str">
            <v>UPS</v>
          </cell>
        </row>
        <row r="185">
          <cell r="A185" t="str">
            <v>9B1835A19461</v>
          </cell>
          <cell r="D185" t="str">
            <v>LOCALIZAR</v>
          </cell>
          <cell r="E185" t="str">
            <v>EDIFICIO #1</v>
          </cell>
          <cell r="F185" t="str">
            <v>9B1835A19461</v>
          </cell>
          <cell r="H185" t="str">
            <v>UPS</v>
          </cell>
        </row>
        <row r="186">
          <cell r="A186" t="str">
            <v>9B1835A19462</v>
          </cell>
          <cell r="D186" t="str">
            <v>LOCALIZAR</v>
          </cell>
          <cell r="E186" t="str">
            <v>EDIFICIO #1</v>
          </cell>
          <cell r="F186" t="str">
            <v>9B1835A19462</v>
          </cell>
          <cell r="H186" t="str">
            <v>UPS</v>
          </cell>
        </row>
        <row r="187">
          <cell r="A187" t="str">
            <v>9B1831A02357</v>
          </cell>
          <cell r="D187" t="str">
            <v>LOCALIZAR</v>
          </cell>
          <cell r="E187" t="str">
            <v>EDIFICIO #1</v>
          </cell>
          <cell r="F187" t="str">
            <v>9B1831A02357</v>
          </cell>
          <cell r="H187" t="str">
            <v>UPS</v>
          </cell>
        </row>
        <row r="188">
          <cell r="A188" t="str">
            <v>9B1832A02956</v>
          </cell>
          <cell r="D188" t="str">
            <v>LOCALIZAR</v>
          </cell>
          <cell r="E188" t="str">
            <v>EDIFICIO #1</v>
          </cell>
          <cell r="F188" t="str">
            <v>9B1832A02956</v>
          </cell>
          <cell r="H188" t="str">
            <v>UPS</v>
          </cell>
        </row>
        <row r="189">
          <cell r="A189" t="str">
            <v>9B1831A02314</v>
          </cell>
          <cell r="D189" t="str">
            <v>LOCALIZAR</v>
          </cell>
          <cell r="E189" t="str">
            <v>EDIFICIO #1</v>
          </cell>
          <cell r="F189" t="str">
            <v>9B1831A02314</v>
          </cell>
          <cell r="H189" t="str">
            <v>UPS</v>
          </cell>
        </row>
        <row r="190">
          <cell r="A190" t="str">
            <v>9B1832A03011</v>
          </cell>
          <cell r="D190" t="str">
            <v>LOCALIZAR</v>
          </cell>
          <cell r="E190" t="str">
            <v>EDIFICIO #1</v>
          </cell>
          <cell r="F190" t="str">
            <v>9B1832A03011</v>
          </cell>
          <cell r="H190" t="str">
            <v>UPS</v>
          </cell>
        </row>
        <row r="191">
          <cell r="A191" t="str">
            <v>9B1836A28332</v>
          </cell>
          <cell r="D191" t="str">
            <v>LOCALIZAR</v>
          </cell>
          <cell r="E191" t="str">
            <v>EDIFICIO #1</v>
          </cell>
          <cell r="F191" t="str">
            <v>9B1836A28332</v>
          </cell>
          <cell r="H191" t="str">
            <v>UPS</v>
          </cell>
        </row>
        <row r="192">
          <cell r="A192" t="str">
            <v>9B1832A03224</v>
          </cell>
          <cell r="D192" t="str">
            <v>LOCALIZAR</v>
          </cell>
          <cell r="E192" t="str">
            <v>EDIFICIO #1</v>
          </cell>
          <cell r="F192" t="str">
            <v>9B1832A03224</v>
          </cell>
          <cell r="H192" t="str">
            <v>UPS</v>
          </cell>
        </row>
        <row r="193">
          <cell r="A193" t="str">
            <v>4B1438P01056</v>
          </cell>
          <cell r="D193" t="str">
            <v>LOCALIZAR</v>
          </cell>
          <cell r="E193" t="str">
            <v>EDIFICIO #1</v>
          </cell>
          <cell r="F193" t="str">
            <v>4B1438P01056</v>
          </cell>
          <cell r="H193" t="str">
            <v>UPS</v>
          </cell>
        </row>
        <row r="194">
          <cell r="A194" t="str">
            <v>4B1846P13126</v>
          </cell>
          <cell r="D194" t="str">
            <v>LOCALIZAR</v>
          </cell>
          <cell r="E194" t="str">
            <v>EDIFICIO #1</v>
          </cell>
          <cell r="F194" t="str">
            <v>4B1846P13126</v>
          </cell>
          <cell r="G194" t="str">
            <v>VERDE</v>
          </cell>
          <cell r="H194" t="str">
            <v>UPS</v>
          </cell>
        </row>
        <row r="195">
          <cell r="A195" t="str">
            <v>4B1843P02109</v>
          </cell>
          <cell r="D195" t="str">
            <v>LOCALIZAR</v>
          </cell>
          <cell r="E195" t="str">
            <v>EDIFICIO #1</v>
          </cell>
          <cell r="F195" t="str">
            <v>4B1843P02109</v>
          </cell>
          <cell r="H195" t="str">
            <v>UPS</v>
          </cell>
        </row>
        <row r="196">
          <cell r="A196" t="str">
            <v>4B1843P02137</v>
          </cell>
          <cell r="D196" t="str">
            <v>LOCALIZAR</v>
          </cell>
          <cell r="E196" t="str">
            <v>EDIFICIO #1</v>
          </cell>
          <cell r="F196" t="str">
            <v>4B1843P02137</v>
          </cell>
          <cell r="H196" t="str">
            <v>UPS</v>
          </cell>
        </row>
        <row r="197">
          <cell r="A197" t="str">
            <v>4B1843P02340</v>
          </cell>
          <cell r="D197" t="str">
            <v>LOCALIZAR</v>
          </cell>
          <cell r="E197" t="str">
            <v>EDIFICIO #1</v>
          </cell>
          <cell r="F197" t="str">
            <v>4B1843P02340</v>
          </cell>
          <cell r="G197" t="str">
            <v>VERDE</v>
          </cell>
          <cell r="H197" t="str">
            <v>UPS</v>
          </cell>
        </row>
        <row r="198">
          <cell r="A198" t="str">
            <v>4B1843P02338</v>
          </cell>
          <cell r="D198" t="str">
            <v>LOCALIZAR</v>
          </cell>
          <cell r="E198" t="str">
            <v>EDIFICIO #1</v>
          </cell>
          <cell r="F198" t="str">
            <v>4B1843P02338</v>
          </cell>
          <cell r="H198" t="str">
            <v>UPS</v>
          </cell>
        </row>
        <row r="199">
          <cell r="A199" t="str">
            <v>4B1951P01383</v>
          </cell>
          <cell r="D199" t="str">
            <v>LOCALIZAR</v>
          </cell>
          <cell r="E199" t="str">
            <v>EDIFICIO #1</v>
          </cell>
          <cell r="F199" t="str">
            <v>4B1951P01383</v>
          </cell>
          <cell r="G199" t="str">
            <v>VERDE</v>
          </cell>
          <cell r="H199" t="str">
            <v>UPS</v>
          </cell>
        </row>
        <row r="200">
          <cell r="A200" t="str">
            <v>4B1951P01405</v>
          </cell>
          <cell r="D200" t="str">
            <v>HORNO 10  (SISTEMA SRK)</v>
          </cell>
          <cell r="E200" t="str">
            <v>EDIFICIO #2</v>
          </cell>
          <cell r="F200" t="str">
            <v>4B1951P01405</v>
          </cell>
          <cell r="H200" t="str">
            <v>UPS</v>
          </cell>
        </row>
        <row r="201">
          <cell r="A201" t="str">
            <v>4B1950P32160</v>
          </cell>
          <cell r="D201" t="str">
            <v>LOCALIZAR</v>
          </cell>
          <cell r="E201" t="str">
            <v>EDIFICIO #1</v>
          </cell>
          <cell r="F201" t="str">
            <v>4B1950P32160</v>
          </cell>
          <cell r="G201" t="str">
            <v>VERDE</v>
          </cell>
          <cell r="H201" t="str">
            <v>UPS</v>
          </cell>
        </row>
        <row r="202">
          <cell r="A202" t="str">
            <v>4B2052P17894</v>
          </cell>
          <cell r="D202" t="str">
            <v>LOCALIZAR</v>
          </cell>
          <cell r="E202" t="str">
            <v>EDIFICIO #1</v>
          </cell>
          <cell r="F202" t="str">
            <v>4B2052P17894</v>
          </cell>
          <cell r="H202" t="str">
            <v>UPS</v>
          </cell>
        </row>
        <row r="203">
          <cell r="A203" t="str">
            <v>4B2051P14893</v>
          </cell>
          <cell r="D203" t="str">
            <v>LOCALIZAR</v>
          </cell>
          <cell r="E203" t="str">
            <v>EDIFICIO #1</v>
          </cell>
          <cell r="F203" t="str">
            <v>4B2051P14893</v>
          </cell>
          <cell r="H203" t="str">
            <v>UPS</v>
          </cell>
        </row>
        <row r="204">
          <cell r="A204" t="str">
            <v>4B2051P14994</v>
          </cell>
          <cell r="D204" t="str">
            <v>LOCALIZAR</v>
          </cell>
          <cell r="E204" t="str">
            <v>EDIFICIO #1</v>
          </cell>
          <cell r="F204" t="str">
            <v>4B2051P14994</v>
          </cell>
          <cell r="G204" t="str">
            <v>VERDE</v>
          </cell>
          <cell r="H204" t="str">
            <v>UPS</v>
          </cell>
        </row>
        <row r="205">
          <cell r="A205" t="str">
            <v>4B2110P14744</v>
          </cell>
          <cell r="D205" t="str">
            <v>LOCALIZAR</v>
          </cell>
          <cell r="E205" t="str">
            <v>EDIFICIO #1</v>
          </cell>
          <cell r="F205" t="str">
            <v>4B2110P14744</v>
          </cell>
          <cell r="H205" t="str">
            <v>UPS</v>
          </cell>
        </row>
        <row r="206">
          <cell r="A206" t="str">
            <v>4B2124P06417</v>
          </cell>
          <cell r="D206" t="str">
            <v>LOCALIZAR</v>
          </cell>
          <cell r="E206" t="str">
            <v>EDIFICIO #1</v>
          </cell>
          <cell r="F206" t="str">
            <v>4B2124P06417</v>
          </cell>
          <cell r="H206" t="str">
            <v>UPS</v>
          </cell>
        </row>
        <row r="207">
          <cell r="A207" t="str">
            <v>4B2124P06508</v>
          </cell>
          <cell r="D207" t="str">
            <v>LOCALIZAR</v>
          </cell>
          <cell r="E207" t="str">
            <v>EDIFICIO #1</v>
          </cell>
          <cell r="F207" t="str">
            <v>4B2124P06508</v>
          </cell>
          <cell r="H207" t="str">
            <v>UPS</v>
          </cell>
        </row>
        <row r="208">
          <cell r="A208" t="str">
            <v>4B2125P12110</v>
          </cell>
          <cell r="D208" t="str">
            <v>LOCALIZAR</v>
          </cell>
          <cell r="E208" t="str">
            <v>EDIFICIO #1</v>
          </cell>
          <cell r="F208" t="str">
            <v>4B2125P12110</v>
          </cell>
          <cell r="H208" t="str">
            <v>UPS</v>
          </cell>
        </row>
        <row r="209">
          <cell r="A209" t="str">
            <v>4B2125P12389</v>
          </cell>
          <cell r="D209" t="str">
            <v>LOCALIZAR</v>
          </cell>
          <cell r="E209" t="str">
            <v>EDIFICIO #1</v>
          </cell>
          <cell r="F209" t="str">
            <v>4B2125P12389</v>
          </cell>
          <cell r="H209" t="str">
            <v>UPS</v>
          </cell>
        </row>
        <row r="210">
          <cell r="A210" t="str">
            <v>4B2125P12327</v>
          </cell>
          <cell r="D210" t="str">
            <v>LOCALIZAR</v>
          </cell>
          <cell r="E210" t="str">
            <v>EDIFICIO #1</v>
          </cell>
          <cell r="F210" t="str">
            <v>4B2125P12327</v>
          </cell>
          <cell r="H210" t="str">
            <v>UPS</v>
          </cell>
        </row>
        <row r="211">
          <cell r="A211" t="str">
            <v>4B2125P07235</v>
          </cell>
          <cell r="D211" t="str">
            <v>LOCALIZAR</v>
          </cell>
          <cell r="E211" t="str">
            <v>EDIFICIO #1</v>
          </cell>
          <cell r="F211" t="str">
            <v>4B2125P07235</v>
          </cell>
          <cell r="H211" t="str">
            <v>UPS</v>
          </cell>
        </row>
        <row r="212">
          <cell r="A212" t="str">
            <v>4B2125P07230</v>
          </cell>
          <cell r="D212" t="str">
            <v>LOCALIZAR</v>
          </cell>
          <cell r="E212" t="str">
            <v>EDIFICIO #1</v>
          </cell>
          <cell r="F212" t="str">
            <v>4B2125P07230</v>
          </cell>
          <cell r="H212" t="str">
            <v>UPS</v>
          </cell>
        </row>
        <row r="213">
          <cell r="A213" t="str">
            <v>4B2125P03125</v>
          </cell>
          <cell r="D213" t="str">
            <v>MT (TOOLCRIB)</v>
          </cell>
          <cell r="E213" t="str">
            <v>EDIFICIO #2</v>
          </cell>
          <cell r="F213" t="str">
            <v>4B2125P03125</v>
          </cell>
          <cell r="H213" t="str">
            <v>UPS</v>
          </cell>
        </row>
        <row r="214">
          <cell r="A214" t="str">
            <v>4B2125P01170</v>
          </cell>
          <cell r="D214" t="str">
            <v>LOCALIZAR</v>
          </cell>
          <cell r="E214" t="str">
            <v>EDIFICIO #1</v>
          </cell>
          <cell r="F214" t="str">
            <v>4B2125P01170</v>
          </cell>
          <cell r="H214" t="str">
            <v>UPS</v>
          </cell>
        </row>
        <row r="215">
          <cell r="A215" t="str">
            <v>4B2125P03016</v>
          </cell>
          <cell r="D215" t="str">
            <v>LOCALIZAR</v>
          </cell>
          <cell r="E215" t="str">
            <v>EDIFICIO #1</v>
          </cell>
          <cell r="F215" t="str">
            <v>4B2125P03016</v>
          </cell>
          <cell r="H215" t="str">
            <v>UPS</v>
          </cell>
        </row>
        <row r="216">
          <cell r="A216" t="str">
            <v>0B2137N07360</v>
          </cell>
          <cell r="D216" t="str">
            <v>AUDITORIA 200% (SITEMA SRK)</v>
          </cell>
          <cell r="E216" t="str">
            <v>EDIFICIO #2</v>
          </cell>
          <cell r="F216" t="str">
            <v>0B2137N07360</v>
          </cell>
          <cell r="G216" t="str">
            <v>VERDE</v>
          </cell>
          <cell r="H216" t="str">
            <v>UPS</v>
          </cell>
        </row>
        <row r="217">
          <cell r="A217" t="str">
            <v>4B2140P03727</v>
          </cell>
          <cell r="D217" t="str">
            <v>PC (ANGEL EDUARDO RENDON MOLINA)</v>
          </cell>
          <cell r="E217" t="str">
            <v>EDIFICIO #2</v>
          </cell>
          <cell r="F217" t="str">
            <v>4B2140P03727</v>
          </cell>
          <cell r="H217" t="str">
            <v>UPS</v>
          </cell>
        </row>
        <row r="218">
          <cell r="A218" t="str">
            <v>9B2118A01250</v>
          </cell>
          <cell r="D218" t="str">
            <v>CONECTORES SUPERVISOR</v>
          </cell>
          <cell r="E218" t="str">
            <v>EDIFICIO #1</v>
          </cell>
          <cell r="F218" t="str">
            <v>9B2118A01250</v>
          </cell>
          <cell r="H218" t="str">
            <v>UPS</v>
          </cell>
        </row>
        <row r="219">
          <cell r="A219" t="str">
            <v>9B2121A04849</v>
          </cell>
          <cell r="D219" t="str">
            <v>LOCALIZAR</v>
          </cell>
          <cell r="E219" t="str">
            <v>EDIFICIO #1</v>
          </cell>
          <cell r="F219" t="str">
            <v>9B2121A04849</v>
          </cell>
          <cell r="H219" t="str">
            <v>UPS</v>
          </cell>
        </row>
        <row r="220">
          <cell r="A220" t="str">
            <v>4B2216P23254</v>
          </cell>
          <cell r="D220" t="str">
            <v>LOCALIZAR</v>
          </cell>
          <cell r="E220" t="str">
            <v>EDIFICIO #1</v>
          </cell>
          <cell r="F220" t="str">
            <v>4B2216P23254</v>
          </cell>
          <cell r="G220" t="str">
            <v>VERDE</v>
          </cell>
          <cell r="H220" t="str">
            <v>UPS</v>
          </cell>
        </row>
        <row r="221">
          <cell r="A221" t="str">
            <v>4B2216P28035</v>
          </cell>
          <cell r="D221" t="str">
            <v>LOCALIZAR</v>
          </cell>
          <cell r="E221" t="str">
            <v>EDIFICIO #1</v>
          </cell>
          <cell r="F221" t="str">
            <v>4B2216P28035</v>
          </cell>
          <cell r="H221" t="str">
            <v>UPS</v>
          </cell>
        </row>
        <row r="222">
          <cell r="A222" t="str">
            <v>4B2216P28209</v>
          </cell>
          <cell r="D222" t="str">
            <v>LOCALIZAR</v>
          </cell>
          <cell r="E222" t="str">
            <v>EDIFICIO #1</v>
          </cell>
          <cell r="F222" t="str">
            <v>4B2216P28209</v>
          </cell>
          <cell r="G222" t="str">
            <v>VERDE</v>
          </cell>
          <cell r="H222" t="str">
            <v>UPS</v>
          </cell>
        </row>
        <row r="223">
          <cell r="A223" t="str">
            <v>0B2213N03556</v>
          </cell>
          <cell r="D223" t="str">
            <v>LINEA 19 (MAQUINA A275)</v>
          </cell>
          <cell r="E223" t="str">
            <v>EDIFICIO #2</v>
          </cell>
          <cell r="F223" t="str">
            <v>0B2213N03556</v>
          </cell>
          <cell r="H223" t="str">
            <v>UPS</v>
          </cell>
        </row>
        <row r="224">
          <cell r="A224" t="str">
            <v>0B2213N03480</v>
          </cell>
          <cell r="D224" t="str">
            <v>LOCALIZAR</v>
          </cell>
          <cell r="E224" t="str">
            <v>EDIFICIO #1</v>
          </cell>
          <cell r="F224" t="str">
            <v>0B2213N03480</v>
          </cell>
          <cell r="H224" t="str">
            <v>UPS</v>
          </cell>
        </row>
        <row r="225">
          <cell r="A225" t="str">
            <v>0B2213N03561</v>
          </cell>
          <cell r="D225" t="str">
            <v>LOCALIZAR</v>
          </cell>
          <cell r="E225" t="str">
            <v>EDIFICIO #1</v>
          </cell>
          <cell r="F225" t="str">
            <v>0B2213N03561</v>
          </cell>
          <cell r="H225" t="str">
            <v>UPS</v>
          </cell>
        </row>
        <row r="226">
          <cell r="A226" t="str">
            <v>0B2213N03877</v>
          </cell>
          <cell r="D226" t="str">
            <v>LOCALIZAR</v>
          </cell>
          <cell r="E226" t="str">
            <v>EDIFICIO #1</v>
          </cell>
          <cell r="F226" t="str">
            <v>0B2213N03877</v>
          </cell>
          <cell r="H226" t="str">
            <v>UPS</v>
          </cell>
        </row>
        <row r="227">
          <cell r="A227" t="str">
            <v>0B2213N03498</v>
          </cell>
          <cell r="D227" t="str">
            <v>LINEA 18 (MAQUINA A272)</v>
          </cell>
          <cell r="E227" t="str">
            <v>EDIFICIO #2</v>
          </cell>
          <cell r="F227" t="str">
            <v>0B2213N03498</v>
          </cell>
          <cell r="H227" t="str">
            <v>UPS</v>
          </cell>
        </row>
        <row r="228">
          <cell r="A228" t="str">
            <v>0B2213N04213</v>
          </cell>
          <cell r="D228" t="str">
            <v>LOCALIZAR</v>
          </cell>
          <cell r="E228" t="str">
            <v>EDIFICIO #1</v>
          </cell>
          <cell r="F228" t="str">
            <v>0B2213N04213</v>
          </cell>
          <cell r="H228" t="str">
            <v>UPS</v>
          </cell>
        </row>
        <row r="229">
          <cell r="A229" t="str">
            <v>0B2214N06923</v>
          </cell>
          <cell r="D229" t="str">
            <v>LOCALIZAR</v>
          </cell>
          <cell r="E229" t="str">
            <v>EDIFICIO #1</v>
          </cell>
          <cell r="F229" t="str">
            <v>0B2214N06923</v>
          </cell>
          <cell r="G229" t="str">
            <v>VERDE</v>
          </cell>
          <cell r="H229" t="str">
            <v>UPS</v>
          </cell>
        </row>
        <row r="230">
          <cell r="A230" t="str">
            <v>0B2214N06677</v>
          </cell>
          <cell r="D230" t="str">
            <v>LOCALIZAR</v>
          </cell>
          <cell r="E230" t="str">
            <v>EDIFICIO #1</v>
          </cell>
          <cell r="F230" t="str">
            <v>0B2214N06677</v>
          </cell>
          <cell r="H230" t="str">
            <v>UPS</v>
          </cell>
        </row>
        <row r="231">
          <cell r="A231" t="str">
            <v>4B2216P23360</v>
          </cell>
          <cell r="D231" t="str">
            <v>LOCALIZAR</v>
          </cell>
          <cell r="E231" t="str">
            <v>EDIFICIO #1</v>
          </cell>
          <cell r="F231" t="str">
            <v>4B2216P23360</v>
          </cell>
          <cell r="H231" t="str">
            <v>UPS</v>
          </cell>
        </row>
        <row r="232">
          <cell r="A232" t="str">
            <v>4B2216P29036</v>
          </cell>
          <cell r="D232" t="str">
            <v>LOCALIZAR</v>
          </cell>
          <cell r="E232" t="str">
            <v>EDIFICIO #1</v>
          </cell>
          <cell r="F232" t="str">
            <v>4B2216P29036</v>
          </cell>
          <cell r="H232" t="str">
            <v>UPS</v>
          </cell>
        </row>
        <row r="233">
          <cell r="A233" t="str">
            <v>4B2216P29174</v>
          </cell>
          <cell r="D233" t="str">
            <v>LOCALIZAR</v>
          </cell>
          <cell r="E233" t="str">
            <v>EDIFICIO #1</v>
          </cell>
          <cell r="F233" t="str">
            <v>4B2216P29174</v>
          </cell>
          <cell r="H233" t="str">
            <v>UPS</v>
          </cell>
        </row>
        <row r="234">
          <cell r="A234" t="str">
            <v>4B2216P30135</v>
          </cell>
          <cell r="D234" t="str">
            <v>LOCALIZAR</v>
          </cell>
          <cell r="E234" t="str">
            <v>EDIFICIO #1</v>
          </cell>
          <cell r="F234" t="str">
            <v>4B2216P30135</v>
          </cell>
          <cell r="H234" t="str">
            <v>UPS</v>
          </cell>
        </row>
        <row r="235">
          <cell r="A235" t="str">
            <v>4B2216P30101</v>
          </cell>
          <cell r="D235" t="str">
            <v>LOCALIZAR</v>
          </cell>
          <cell r="E235" t="str">
            <v>EDIFICIO #1</v>
          </cell>
          <cell r="F235" t="str">
            <v>4B2216P30101</v>
          </cell>
          <cell r="G235" t="str">
            <v>VERDE</v>
          </cell>
          <cell r="H235" t="str">
            <v>UPS</v>
          </cell>
        </row>
        <row r="236">
          <cell r="A236" t="str">
            <v>4B2216P30067</v>
          </cell>
          <cell r="D236" t="str">
            <v>LOCALIZAR</v>
          </cell>
          <cell r="E236" t="str">
            <v>EDIFICIO #1</v>
          </cell>
          <cell r="F236" t="str">
            <v>4B2216P30067</v>
          </cell>
          <cell r="H236" t="str">
            <v>UPS</v>
          </cell>
        </row>
        <row r="237">
          <cell r="A237" t="str">
            <v>4B2216P29077</v>
          </cell>
          <cell r="D237" t="str">
            <v>RACKS SWTCHES</v>
          </cell>
          <cell r="E237" t="str">
            <v>EDIFICIO BPT</v>
          </cell>
          <cell r="F237" t="str">
            <v>4B2216P29077</v>
          </cell>
          <cell r="H237" t="str">
            <v>UPS</v>
          </cell>
        </row>
        <row r="238">
          <cell r="A238" t="str">
            <v>4B2216P28962</v>
          </cell>
          <cell r="D238" t="str">
            <v>LOCALIZAR</v>
          </cell>
          <cell r="E238" t="str">
            <v>EDIFICIO #1</v>
          </cell>
          <cell r="F238" t="str">
            <v>4B2216P28962</v>
          </cell>
          <cell r="H238" t="str">
            <v>UPS</v>
          </cell>
        </row>
        <row r="239">
          <cell r="A239" t="str">
            <v>4B2216P23737</v>
          </cell>
          <cell r="D239" t="str">
            <v>LOCALIZAR</v>
          </cell>
          <cell r="E239" t="str">
            <v>EDIFICIO #1</v>
          </cell>
          <cell r="F239" t="str">
            <v>4B2216P23737</v>
          </cell>
          <cell r="H239" t="str">
            <v>UPS</v>
          </cell>
        </row>
        <row r="240">
          <cell r="A240" t="str">
            <v>4B2216P25405</v>
          </cell>
          <cell r="D240" t="str">
            <v>PE (DOCUMENTOS ING)</v>
          </cell>
          <cell r="E240" t="str">
            <v>EDIFICIO #2</v>
          </cell>
          <cell r="F240" t="str">
            <v>4B2216P25405</v>
          </cell>
          <cell r="H240" t="str">
            <v>UPS</v>
          </cell>
        </row>
        <row r="241">
          <cell r="A241" t="str">
            <v>0B2310N07530</v>
          </cell>
          <cell r="D241" t="str">
            <v>PROTECTOR A (SISTEMA SRK)</v>
          </cell>
          <cell r="E241" t="str">
            <v>EDIFICIO #2</v>
          </cell>
          <cell r="F241" t="str">
            <v>0B2310N07530</v>
          </cell>
          <cell r="H241" t="str">
            <v>UPS</v>
          </cell>
        </row>
        <row r="242">
          <cell r="A242" t="str">
            <v>0B2317N03326</v>
          </cell>
          <cell r="D242" t="str">
            <v xml:space="preserve">AUDITORIA DE PROCESOS </v>
          </cell>
          <cell r="E242" t="str">
            <v>EDIFICIO #1</v>
          </cell>
          <cell r="F242" t="str">
            <v>0B2317N03326</v>
          </cell>
          <cell r="G242" t="str">
            <v>VERDE</v>
          </cell>
          <cell r="H242" t="str">
            <v>UPS</v>
          </cell>
        </row>
        <row r="243">
          <cell r="A243" t="str">
            <v>0B2326L06507</v>
          </cell>
          <cell r="D243" t="str">
            <v>LOCALIZAR</v>
          </cell>
          <cell r="E243" t="str">
            <v>EDIFICIO #1</v>
          </cell>
          <cell r="F243" t="str">
            <v>0B2326L06507</v>
          </cell>
          <cell r="H243" t="str">
            <v>UPS</v>
          </cell>
        </row>
        <row r="244">
          <cell r="A244" t="str">
            <v>0B2326L06542</v>
          </cell>
          <cell r="D244" t="str">
            <v>LOCALIZAR</v>
          </cell>
          <cell r="E244" t="str">
            <v>EDIFICIO #1</v>
          </cell>
          <cell r="F244" t="str">
            <v>0B2326L06542</v>
          </cell>
          <cell r="H244" t="str">
            <v>UPS</v>
          </cell>
        </row>
        <row r="245">
          <cell r="A245" t="str">
            <v>9B2239A03247</v>
          </cell>
          <cell r="D245" t="str">
            <v>LOCALIZAR</v>
          </cell>
          <cell r="E245" t="str">
            <v>EDIFICIO #1</v>
          </cell>
          <cell r="F245" t="str">
            <v>9B2239A03247</v>
          </cell>
          <cell r="H245" t="str">
            <v>UPS</v>
          </cell>
        </row>
        <row r="246">
          <cell r="A246" t="str">
            <v>0B2331L03450</v>
          </cell>
          <cell r="D246" t="str">
            <v>LOCALIZAR</v>
          </cell>
          <cell r="E246" t="str">
            <v>EDIFICIO #1</v>
          </cell>
          <cell r="F246" t="str">
            <v>0B2331L03450</v>
          </cell>
          <cell r="H246" t="str">
            <v>UPS</v>
          </cell>
        </row>
        <row r="247">
          <cell r="A247" t="str">
            <v>0B2319N02794</v>
          </cell>
          <cell r="D247" t="str">
            <v>AUTOCLAVE  (PANEL DE CONTROL AUT.2)</v>
          </cell>
          <cell r="E247" t="str">
            <v>EDIFICIO #1</v>
          </cell>
          <cell r="F247" t="str">
            <v>0B2319N02794</v>
          </cell>
          <cell r="H247" t="str">
            <v>UPS</v>
          </cell>
        </row>
        <row r="248">
          <cell r="A248" t="str">
            <v>0B2331L16699</v>
          </cell>
          <cell r="D248" t="str">
            <v>LOCALIZAR</v>
          </cell>
          <cell r="E248" t="str">
            <v>EDIFICIO #1</v>
          </cell>
          <cell r="F248" t="str">
            <v>0B2331L16699</v>
          </cell>
          <cell r="H248" t="str">
            <v>UPS</v>
          </cell>
        </row>
        <row r="249">
          <cell r="A249" t="str">
            <v>0B2337L10100</v>
          </cell>
          <cell r="D249" t="str">
            <v>LOCALIZAR</v>
          </cell>
          <cell r="E249" t="str">
            <v>EDIFICIO #1</v>
          </cell>
          <cell r="F249" t="str">
            <v>0B2337L10100</v>
          </cell>
          <cell r="G249" t="str">
            <v>VERDE</v>
          </cell>
          <cell r="H249" t="str">
            <v>UPS</v>
          </cell>
        </row>
        <row r="250">
          <cell r="A250" t="str">
            <v>0B2337L14374</v>
          </cell>
          <cell r="D250" t="str">
            <v>LOCALIZAR</v>
          </cell>
          <cell r="E250" t="str">
            <v>EDIFICIO #1</v>
          </cell>
          <cell r="F250" t="str">
            <v>0B2337L14374</v>
          </cell>
          <cell r="G250" t="str">
            <v>VERDE</v>
          </cell>
          <cell r="H250" t="str">
            <v>UPS</v>
          </cell>
        </row>
        <row r="251">
          <cell r="A251" t="str">
            <v>0B2337L11388</v>
          </cell>
          <cell r="D251" t="str">
            <v>LOCALIZAR</v>
          </cell>
          <cell r="E251" t="str">
            <v>EDIFICIO #1</v>
          </cell>
          <cell r="F251" t="str">
            <v>0B2337L11388</v>
          </cell>
          <cell r="G251" t="str">
            <v>VERDE</v>
          </cell>
          <cell r="H251" t="str">
            <v>UPS</v>
          </cell>
        </row>
        <row r="252">
          <cell r="A252" t="str">
            <v>0B2336L13930</v>
          </cell>
          <cell r="D252" t="str">
            <v>SITE (STOCK)</v>
          </cell>
          <cell r="E252" t="str">
            <v>EDIFICIO #2</v>
          </cell>
          <cell r="F252" t="str">
            <v>0B2336L13930</v>
          </cell>
          <cell r="H252" t="str">
            <v>UPS</v>
          </cell>
        </row>
        <row r="253">
          <cell r="A253" t="str">
            <v>0B2336L13652</v>
          </cell>
          <cell r="D253" t="str">
            <v>LOCALIZAR</v>
          </cell>
          <cell r="E253" t="str">
            <v>EDIFICIO #1</v>
          </cell>
          <cell r="F253" t="str">
            <v>0B2336L13652</v>
          </cell>
          <cell r="H253" t="str">
            <v>UPS</v>
          </cell>
        </row>
        <row r="254">
          <cell r="A254" t="str">
            <v>0B2336L13797</v>
          </cell>
          <cell r="D254" t="str">
            <v>LINEA 42 (SISTEMA SRK)</v>
          </cell>
          <cell r="E254" t="str">
            <v>EDIFICIO #2</v>
          </cell>
          <cell r="F254" t="str">
            <v>0B2336L13797</v>
          </cell>
          <cell r="G254" t="str">
            <v>VERDE</v>
          </cell>
          <cell r="H254" t="str">
            <v>UPS</v>
          </cell>
        </row>
        <row r="255">
          <cell r="A255" t="str">
            <v>0B2336L13901</v>
          </cell>
          <cell r="D255" t="str">
            <v xml:space="preserve">RASPBERRY PASILLO </v>
          </cell>
          <cell r="E255" t="str">
            <v>EDIFICIO #2</v>
          </cell>
          <cell r="F255" t="str">
            <v>0B2336L13901</v>
          </cell>
          <cell r="G255" t="str">
            <v>VERDE</v>
          </cell>
          <cell r="H255" t="str">
            <v>UPS</v>
          </cell>
        </row>
        <row r="256">
          <cell r="A256" t="str">
            <v>4B2220P21849</v>
          </cell>
          <cell r="D256" t="str">
            <v>LOCALIZAR</v>
          </cell>
          <cell r="E256" t="str">
            <v>EDIFICIO #1</v>
          </cell>
          <cell r="F256" t="str">
            <v>4B2220P21849</v>
          </cell>
          <cell r="H256" t="str">
            <v>UPS</v>
          </cell>
        </row>
        <row r="257">
          <cell r="A257" t="str">
            <v>0B2337L23114</v>
          </cell>
          <cell r="D257" t="str">
            <v>TOOLCRIB</v>
          </cell>
          <cell r="E257" t="str">
            <v>EDIFICIO #3</v>
          </cell>
          <cell r="F257" t="str">
            <v>0B2337L23114</v>
          </cell>
          <cell r="G257" t="str">
            <v>VERDE</v>
          </cell>
          <cell r="H257" t="str">
            <v>UPS</v>
          </cell>
        </row>
        <row r="258">
          <cell r="A258" t="str">
            <v>4B2220P21852</v>
          </cell>
          <cell r="D258" t="str">
            <v>LOCALIZAR</v>
          </cell>
          <cell r="E258" t="str">
            <v>EDIFICIO #1</v>
          </cell>
          <cell r="F258" t="str">
            <v>4B2220P21852</v>
          </cell>
          <cell r="H258" t="str">
            <v>UPS</v>
          </cell>
        </row>
        <row r="259">
          <cell r="A259" t="str">
            <v>0B2337L22649</v>
          </cell>
          <cell r="D259" t="str">
            <v>LOCALIZAR</v>
          </cell>
          <cell r="E259" t="str">
            <v>EDIFICIO #1</v>
          </cell>
          <cell r="F259" t="str">
            <v>0B2337L22649</v>
          </cell>
          <cell r="G259" t="str">
            <v>VERDE</v>
          </cell>
          <cell r="H259" t="str">
            <v>UPS</v>
          </cell>
        </row>
        <row r="260">
          <cell r="A260" t="str">
            <v>4B2220P21624</v>
          </cell>
          <cell r="D260" t="str">
            <v>LOCALIZAR</v>
          </cell>
          <cell r="E260" t="str">
            <v>EDIFICIO #1</v>
          </cell>
          <cell r="F260" t="str">
            <v>4B2220P21624</v>
          </cell>
          <cell r="H260" t="str">
            <v>UPS</v>
          </cell>
        </row>
        <row r="261">
          <cell r="A261" t="str">
            <v>0B2337L23260</v>
          </cell>
          <cell r="D261" t="str">
            <v>LOCALIZAR</v>
          </cell>
          <cell r="E261" t="str">
            <v>EDIFICIO #1</v>
          </cell>
          <cell r="F261" t="str">
            <v>0B2337L23260</v>
          </cell>
          <cell r="G261" t="str">
            <v>VERDE</v>
          </cell>
          <cell r="H261" t="str">
            <v>UPS</v>
          </cell>
        </row>
        <row r="262">
          <cell r="A262" t="str">
            <v>0B2337L22774</v>
          </cell>
          <cell r="D262" t="str">
            <v>LOCALIZAR</v>
          </cell>
          <cell r="E262" t="str">
            <v>EDIFICIO #1</v>
          </cell>
          <cell r="F262" t="str">
            <v>0B2337L22774</v>
          </cell>
          <cell r="H262" t="str">
            <v>UPS</v>
          </cell>
        </row>
        <row r="263">
          <cell r="A263" t="str">
            <v>0B2336L12088</v>
          </cell>
          <cell r="D263" t="str">
            <v>LINEA 41 (SISTEMA SRK)</v>
          </cell>
          <cell r="E263" t="str">
            <v>EDIFICIO #3</v>
          </cell>
          <cell r="F263" t="str">
            <v>0B2336L12088</v>
          </cell>
          <cell r="H263" t="str">
            <v>UPS</v>
          </cell>
        </row>
        <row r="264">
          <cell r="A264" t="str">
            <v>0B2636L13328</v>
          </cell>
          <cell r="D264" t="str">
            <v>LOCALIZAR</v>
          </cell>
          <cell r="E264" t="str">
            <v>EDIFICIO #1</v>
          </cell>
          <cell r="F264" t="str">
            <v>0B2636L13328</v>
          </cell>
          <cell r="G264" t="str">
            <v>VERDE</v>
          </cell>
          <cell r="H264" t="str">
            <v>UPS</v>
          </cell>
        </row>
        <row r="265">
          <cell r="A265" t="str">
            <v>4B2220P24362</v>
          </cell>
          <cell r="D265" t="str">
            <v>CORTE DE FORRO (SISTEMA SRK)</v>
          </cell>
          <cell r="E265" t="str">
            <v>EDIFICIO #1</v>
          </cell>
          <cell r="F265" t="str">
            <v>4B2220P24362</v>
          </cell>
          <cell r="H265" t="str">
            <v>UPS</v>
          </cell>
        </row>
        <row r="266">
          <cell r="A266" t="str">
            <v>5B2405T42731</v>
          </cell>
          <cell r="D266" t="str">
            <v>LOCALIZAR</v>
          </cell>
          <cell r="E266" t="str">
            <v>EDIFICIO #1</v>
          </cell>
          <cell r="F266" t="str">
            <v>5B2405T42731</v>
          </cell>
          <cell r="H266" t="str">
            <v>UPS</v>
          </cell>
        </row>
        <row r="267">
          <cell r="A267" t="str">
            <v>5B2405TD2038</v>
          </cell>
          <cell r="D267" t="str">
            <v>LOCALIZAR</v>
          </cell>
          <cell r="E267" t="str">
            <v>EDIFICIO #1</v>
          </cell>
          <cell r="F267" t="str">
            <v>5B2405TD2038</v>
          </cell>
          <cell r="H267" t="str">
            <v>UPS</v>
          </cell>
        </row>
        <row r="268">
          <cell r="A268" t="str">
            <v>5B2421TH4357</v>
          </cell>
          <cell r="D268" t="str">
            <v>DASHBOARD</v>
          </cell>
          <cell r="E268" t="str">
            <v>EDIFICIO #3</v>
          </cell>
          <cell r="F268" t="str">
            <v>5B2421TH4357</v>
          </cell>
          <cell r="H268" t="str">
            <v>UPS</v>
          </cell>
        </row>
        <row r="269">
          <cell r="A269" t="str">
            <v>0B2425L07042</v>
          </cell>
          <cell r="D269" t="str">
            <v>ENTRENAMIENTO</v>
          </cell>
          <cell r="E269" t="str">
            <v>EDIFICIO #3</v>
          </cell>
          <cell r="F269" t="str">
            <v>0B2425L07042</v>
          </cell>
          <cell r="H269" t="str">
            <v>UPS</v>
          </cell>
        </row>
        <row r="270">
          <cell r="A270" t="str">
            <v>0B2425L10641</v>
          </cell>
          <cell r="D270" t="str">
            <v>LOCALIZAR</v>
          </cell>
          <cell r="E270" t="str">
            <v>EDIFICIO #1</v>
          </cell>
          <cell r="F270" t="str">
            <v>0B2425L10641</v>
          </cell>
          <cell r="H270" t="str">
            <v>UPS</v>
          </cell>
        </row>
        <row r="271">
          <cell r="A271" t="str">
            <v>0B2425L07173</v>
          </cell>
          <cell r="D271" t="str">
            <v>AUTOCLAVE 1 (SISTEMA SRK)</v>
          </cell>
          <cell r="E271" t="str">
            <v>EDIFICIO #1</v>
          </cell>
          <cell r="F271" t="str">
            <v>0B2425L07173</v>
          </cell>
          <cell r="H271" t="str">
            <v>UPS</v>
          </cell>
        </row>
        <row r="272">
          <cell r="A272" t="str">
            <v>0B2425L03519</v>
          </cell>
          <cell r="D272" t="str">
            <v>AUTOCLAVE 4 (SISTEMA SRK)</v>
          </cell>
          <cell r="E272" t="str">
            <v>EDIFICIO #1</v>
          </cell>
          <cell r="F272" t="str">
            <v>0B2425L03519</v>
          </cell>
          <cell r="H272" t="str">
            <v>UPS</v>
          </cell>
        </row>
        <row r="273">
          <cell r="A273" t="str">
            <v>3B1128X24261</v>
          </cell>
          <cell r="D273" t="str">
            <v>LOCALIZAR</v>
          </cell>
          <cell r="E273" t="str">
            <v>EDIFICIO #1</v>
          </cell>
          <cell r="F273" t="str">
            <v>3B1128X24261</v>
          </cell>
          <cell r="H273" t="str">
            <v>UPS</v>
          </cell>
        </row>
        <row r="274">
          <cell r="A274" t="str">
            <v>4B1128P48571</v>
          </cell>
          <cell r="D274" t="str">
            <v>LOCALIZAR</v>
          </cell>
          <cell r="E274" t="str">
            <v>EDIFICIO #1</v>
          </cell>
          <cell r="F274" t="str">
            <v>4B1128P48571</v>
          </cell>
          <cell r="H274" t="str">
            <v>UPS</v>
          </cell>
        </row>
        <row r="275">
          <cell r="A275" t="str">
            <v>4B1131P36878</v>
          </cell>
          <cell r="D275" t="str">
            <v>LOCALIZAR</v>
          </cell>
          <cell r="E275" t="str">
            <v>EDIFICIO #1</v>
          </cell>
          <cell r="F275" t="str">
            <v>4B1131P36878</v>
          </cell>
          <cell r="H275" t="str">
            <v>UPS</v>
          </cell>
        </row>
        <row r="276">
          <cell r="A276" t="str">
            <v>4B1749P30447</v>
          </cell>
          <cell r="D276" t="str">
            <v>LOCALIZAR</v>
          </cell>
          <cell r="E276" t="str">
            <v>EDIFICIO #1</v>
          </cell>
          <cell r="F276" t="str">
            <v>4B1749P30447</v>
          </cell>
          <cell r="H276" t="str">
            <v>UPS</v>
          </cell>
        </row>
        <row r="277">
          <cell r="A277" t="str">
            <v>4B2051P15218</v>
          </cell>
          <cell r="D277" t="str">
            <v>LOCALIZAR</v>
          </cell>
          <cell r="E277" t="str">
            <v>EDIFICIO #1</v>
          </cell>
          <cell r="F277" t="str">
            <v>4B2051P15218</v>
          </cell>
          <cell r="H277" t="str">
            <v>UPS</v>
          </cell>
        </row>
        <row r="278">
          <cell r="A278" t="str">
            <v>5B2421TE6778</v>
          </cell>
          <cell r="D278" t="str">
            <v>IT (SITE 1 STOCK)</v>
          </cell>
          <cell r="E278" t="str">
            <v>EDIFICIO #1</v>
          </cell>
          <cell r="F278" t="str">
            <v>5B2421TE6778</v>
          </cell>
          <cell r="H278" t="str">
            <v>UPS</v>
          </cell>
        </row>
        <row r="279">
          <cell r="A279" t="str">
            <v>5B2421TE6703</v>
          </cell>
          <cell r="D279" t="str">
            <v>IT (SITE 1 STOCK)</v>
          </cell>
          <cell r="E279" t="str">
            <v>EDIFICIO #1</v>
          </cell>
          <cell r="F279" t="str">
            <v>5B2421TE6703</v>
          </cell>
          <cell r="H279" t="str">
            <v>UPS</v>
          </cell>
        </row>
        <row r="280">
          <cell r="A280"/>
          <cell r="H280" t="str">
            <v>UPS</v>
          </cell>
        </row>
        <row r="281">
          <cell r="A281"/>
          <cell r="H281" t="str">
            <v>UPS</v>
          </cell>
        </row>
        <row r="282">
          <cell r="A282"/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F40C1-95B4-4432-9FE6-551914AAADAE}" name="Table1" displayName="Table1" ref="A1:G667" totalsRowShown="0">
  <autoFilter ref="A1:G667" xr:uid="{4F9F40C1-95B4-4432-9FE6-551914AAADAE}"/>
  <tableColumns count="7">
    <tableColumn id="1" xr3:uid="{AD691F63-785F-4A6A-9162-4D5E79B31F88}" name="No."/>
    <tableColumn id="2" xr3:uid="{F4CB4B53-35E7-442B-9695-9FBA91D6E637}" name="ID Equipo" dataDxfId="18"/>
    <tableColumn id="3" xr3:uid="{252E0CC4-1272-43A9-BB99-3BA547D0F53D}" name="Ubicación"/>
    <tableColumn id="5" xr3:uid="{DC6A65D4-807A-4167-A917-B646B5482419}" name="COLOR"/>
    <tableColumn id="4" xr3:uid="{B330A253-2492-4866-8396-602E98F56FC3}" name="NOMBRE DE DISPOSITIVO "/>
    <tableColumn id="7" xr3:uid="{7F9A6F88-6434-4901-963E-A9A1F8E6699B}" name="PLANTA" dataDxfId="17"/>
    <tableColumn id="6" xr3:uid="{EC8BAA64-617B-4CAC-927D-92F369F67BC4}" name="COMENTARIO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DE10-3588-419F-B1E4-FCDFF5D934EC}">
  <sheetPr codeName="Hoja1">
    <pageSetUpPr fitToPage="1"/>
  </sheetPr>
  <dimension ref="A1:M667"/>
  <sheetViews>
    <sheetView tabSelected="1" zoomScale="172" zoomScaleNormal="172" workbookViewId="0">
      <selection activeCell="D583" sqref="D583"/>
    </sheetView>
  </sheetViews>
  <sheetFormatPr baseColWidth="10" defaultColWidth="8.77734375" defaultRowHeight="14.4" x14ac:dyDescent="0.3"/>
  <cols>
    <col min="1" max="1" width="7.44140625" bestFit="1" customWidth="1"/>
    <col min="2" max="2" width="26.21875" bestFit="1" customWidth="1"/>
    <col min="3" max="3" width="51.77734375" bestFit="1" customWidth="1"/>
    <col min="4" max="4" width="10.77734375" bestFit="1" customWidth="1"/>
    <col min="5" max="5" width="28.44140625" bestFit="1" customWidth="1"/>
    <col min="6" max="6" width="28.44140625" customWidth="1"/>
    <col min="7" max="7" width="60.77734375" bestFit="1" customWidth="1"/>
    <col min="8" max="8" width="36.21875" bestFit="1" customWidth="1"/>
    <col min="9" max="9" width="160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792</v>
      </c>
      <c r="E1" t="s">
        <v>768</v>
      </c>
      <c r="F1" t="s">
        <v>847</v>
      </c>
      <c r="G1" t="s">
        <v>769</v>
      </c>
      <c r="H1" s="51" t="s">
        <v>774</v>
      </c>
    </row>
    <row r="2" spans="1:9" x14ac:dyDescent="0.3">
      <c r="A2" s="44">
        <v>1</v>
      </c>
      <c r="B2" s="45" t="s">
        <v>4</v>
      </c>
      <c r="C2" s="44" t="s">
        <v>3</v>
      </c>
      <c r="D2" s="44" t="s">
        <v>651</v>
      </c>
      <c r="E2" s="44" t="s">
        <v>770</v>
      </c>
      <c r="F2" s="76" t="s">
        <v>848</v>
      </c>
      <c r="G2" s="44"/>
      <c r="H2" s="22" t="s">
        <v>657</v>
      </c>
      <c r="I2" t="s">
        <v>777</v>
      </c>
    </row>
    <row r="3" spans="1:9" x14ac:dyDescent="0.3">
      <c r="A3" s="44">
        <v>2</v>
      </c>
      <c r="B3" s="45" t="s">
        <v>5</v>
      </c>
      <c r="C3" s="44" t="s">
        <v>825</v>
      </c>
      <c r="D3" s="44" t="s">
        <v>651</v>
      </c>
      <c r="E3" s="44" t="str">
        <f>_xlfn.XLOOKUP(Table1[[#This Row],[ID Equipo]],Hoja2!A:A,Hoja2!D:D,"NO SE ENCONTRO",0)</f>
        <v>UPS</v>
      </c>
      <c r="F3" s="76" t="s">
        <v>848</v>
      </c>
      <c r="G3" s="44"/>
      <c r="H3" s="46" t="s">
        <v>651</v>
      </c>
      <c r="I3" t="s">
        <v>795</v>
      </c>
    </row>
    <row r="4" spans="1:9" x14ac:dyDescent="0.3">
      <c r="A4" s="44">
        <v>3</v>
      </c>
      <c r="B4" s="45" t="s">
        <v>6</v>
      </c>
      <c r="C4" s="44" t="s">
        <v>7</v>
      </c>
      <c r="D4" s="44" t="s">
        <v>651</v>
      </c>
      <c r="E4" s="44" t="str">
        <f>_xlfn.XLOOKUP(Table1[[#This Row],[ID Equipo]],Hoja2!A:A,Hoja2!D:D,"NO SE ENCONTRO",0)</f>
        <v>COMPUTADORA DE ESCRITORIO</v>
      </c>
      <c r="F4" s="76" t="s">
        <v>848</v>
      </c>
      <c r="G4" s="44"/>
      <c r="H4" s="41" t="s">
        <v>652</v>
      </c>
      <c r="I4" t="s">
        <v>796</v>
      </c>
    </row>
    <row r="5" spans="1:9" x14ac:dyDescent="0.3">
      <c r="A5" s="44">
        <v>4</v>
      </c>
      <c r="B5" s="45" t="s">
        <v>8</v>
      </c>
      <c r="C5" s="44" t="s">
        <v>7</v>
      </c>
      <c r="D5" s="44" t="s">
        <v>651</v>
      </c>
      <c r="E5" s="44" t="str">
        <f>_xlfn.XLOOKUP(Table1[[#This Row],[ID Equipo]],Hoja2!A:A,Hoja2!D:D,"NO SE ENCONTRO",0)</f>
        <v>UPS</v>
      </c>
      <c r="F5" s="76" t="s">
        <v>848</v>
      </c>
      <c r="G5" s="44"/>
      <c r="H5" s="23" t="s">
        <v>775</v>
      </c>
      <c r="I5" t="s">
        <v>781</v>
      </c>
    </row>
    <row r="6" spans="1:9" x14ac:dyDescent="0.3">
      <c r="A6" s="44">
        <v>5</v>
      </c>
      <c r="B6" s="45" t="s">
        <v>9</v>
      </c>
      <c r="C6" s="44" t="s">
        <v>10</v>
      </c>
      <c r="D6" s="44" t="s">
        <v>651</v>
      </c>
      <c r="E6" s="44" t="str">
        <f>_xlfn.XLOOKUP(Table1[[#This Row],[ID Equipo]],Hoja2!A:A,Hoja2!D:D,"NO SE ENCONTRO",0)</f>
        <v>COMPUTADORA DE ESCRITORIO</v>
      </c>
      <c r="F6" s="76" t="s">
        <v>848</v>
      </c>
      <c r="G6" s="44"/>
      <c r="H6" s="33" t="s">
        <v>782</v>
      </c>
      <c r="I6" t="s">
        <v>798</v>
      </c>
    </row>
    <row r="7" spans="1:9" x14ac:dyDescent="0.3">
      <c r="A7" s="44">
        <v>6</v>
      </c>
      <c r="B7" s="45" t="s">
        <v>11</v>
      </c>
      <c r="C7" s="44" t="s">
        <v>10</v>
      </c>
      <c r="D7" s="44" t="s">
        <v>651</v>
      </c>
      <c r="E7" s="44" t="str">
        <f>_xlfn.XLOOKUP(Table1[[#This Row],[ID Equipo]],Hoja2!A:A,Hoja2!D:D,"NO SE ENCONTRO",0)</f>
        <v>UPS</v>
      </c>
      <c r="F7" s="76" t="s">
        <v>848</v>
      </c>
      <c r="G7" s="44"/>
      <c r="H7" s="24" t="s">
        <v>776</v>
      </c>
      <c r="I7" t="s">
        <v>797</v>
      </c>
    </row>
    <row r="8" spans="1:9" x14ac:dyDescent="0.3">
      <c r="A8" s="44">
        <v>7</v>
      </c>
      <c r="B8" s="40" t="s">
        <v>12</v>
      </c>
      <c r="C8" s="39" t="s">
        <v>13</v>
      </c>
      <c r="D8" s="39" t="s">
        <v>652</v>
      </c>
      <c r="E8" s="39" t="str">
        <f>_xlfn.XLOOKUP(Table1[[#This Row],[ID Equipo]],Hoja2!A:A,Hoja2!D:D,"NO SE ENCONTRO",0)</f>
        <v>COMPUTADORA DE ESCRITORIO</v>
      </c>
      <c r="F8" s="77" t="s">
        <v>848</v>
      </c>
      <c r="G8" s="39"/>
    </row>
    <row r="9" spans="1:9" x14ac:dyDescent="0.3">
      <c r="A9" s="44">
        <v>8</v>
      </c>
      <c r="B9" s="40" t="s">
        <v>14</v>
      </c>
      <c r="C9" s="39" t="s">
        <v>13</v>
      </c>
      <c r="D9" s="39" t="s">
        <v>652</v>
      </c>
      <c r="E9" s="39" t="str">
        <f>_xlfn.XLOOKUP(Table1[[#This Row],[ID Equipo]],Hoja2!A:A,Hoja2!D:D,"NO SE ENCONTRO",0)</f>
        <v>UPS</v>
      </c>
      <c r="F9" s="77" t="s">
        <v>848</v>
      </c>
      <c r="G9" s="39"/>
      <c r="H9" s="51" t="s">
        <v>836</v>
      </c>
    </row>
    <row r="10" spans="1:9" x14ac:dyDescent="0.3">
      <c r="A10" s="44">
        <v>9</v>
      </c>
      <c r="B10" s="40" t="s">
        <v>15</v>
      </c>
      <c r="C10" s="39" t="s">
        <v>17</v>
      </c>
      <c r="D10" s="39" t="s">
        <v>652</v>
      </c>
      <c r="E10" s="39" t="str">
        <f>_xlfn.XLOOKUP(Table1[[#This Row],[ID Equipo]],Hoja2!A:A,Hoja2!D:D,"NO SE ENCONTRO",0)</f>
        <v>COMPUTADORA DE ESCRITORIO</v>
      </c>
      <c r="F10" s="77" t="s">
        <v>848</v>
      </c>
      <c r="G10" s="39"/>
      <c r="H10" s="52" t="s">
        <v>1202</v>
      </c>
    </row>
    <row r="11" spans="1:9" x14ac:dyDescent="0.3">
      <c r="A11" s="44">
        <v>10</v>
      </c>
      <c r="B11" s="40" t="s">
        <v>16</v>
      </c>
      <c r="C11" s="39" t="s">
        <v>17</v>
      </c>
      <c r="D11" s="39" t="s">
        <v>652</v>
      </c>
      <c r="E11" s="39" t="str">
        <f>_xlfn.XLOOKUP(Table1[[#This Row],[ID Equipo]],Hoja2!A:A,Hoja2!D:D,"NO SE ENCONTRO",0)</f>
        <v>UPS</v>
      </c>
      <c r="F11" s="77" t="s">
        <v>848</v>
      </c>
      <c r="G11" s="39"/>
      <c r="H11" s="52" t="s">
        <v>837</v>
      </c>
    </row>
    <row r="12" spans="1:9" x14ac:dyDescent="0.3">
      <c r="A12" s="44">
        <v>11</v>
      </c>
      <c r="B12" s="40" t="s">
        <v>18</v>
      </c>
      <c r="C12" s="39" t="s">
        <v>20</v>
      </c>
      <c r="D12" s="39" t="s">
        <v>652</v>
      </c>
      <c r="E12" s="39" t="s">
        <v>770</v>
      </c>
      <c r="F12" s="77" t="s">
        <v>848</v>
      </c>
      <c r="G12" s="39"/>
    </row>
    <row r="13" spans="1:9" x14ac:dyDescent="0.3">
      <c r="A13" s="44">
        <v>12</v>
      </c>
      <c r="B13" s="40" t="s">
        <v>19</v>
      </c>
      <c r="C13" s="39" t="s">
        <v>20</v>
      </c>
      <c r="D13" s="39" t="s">
        <v>652</v>
      </c>
      <c r="E13" s="39" t="str">
        <f>_xlfn.XLOOKUP(Table1[[#This Row],[ID Equipo]],Hoja2!A:A,Hoja2!D:D,"NO SE ENCONTRO",0)</f>
        <v>UPS</v>
      </c>
      <c r="F13" s="77" t="s">
        <v>848</v>
      </c>
      <c r="G13" s="39"/>
    </row>
    <row r="14" spans="1:9" x14ac:dyDescent="0.3">
      <c r="A14" s="44">
        <v>13</v>
      </c>
      <c r="B14" s="40" t="s">
        <v>21</v>
      </c>
      <c r="C14" s="39" t="s">
        <v>33</v>
      </c>
      <c r="D14" s="39" t="s">
        <v>652</v>
      </c>
      <c r="E14" s="39" t="str">
        <f>_xlfn.XLOOKUP(Table1[[#This Row],[ID Equipo]],Hoja2!A:A,Hoja2!D:D,"NO SE ENCONTRO",0)</f>
        <v>COMPUTADORA DE ESCRITORIO</v>
      </c>
      <c r="F14" s="77" t="s">
        <v>848</v>
      </c>
      <c r="G14" s="39"/>
    </row>
    <row r="15" spans="1:9" x14ac:dyDescent="0.3">
      <c r="A15" s="44">
        <v>14</v>
      </c>
      <c r="B15" s="40" t="s">
        <v>22</v>
      </c>
      <c r="C15" s="39" t="s">
        <v>33</v>
      </c>
      <c r="D15" s="39" t="s">
        <v>652</v>
      </c>
      <c r="E15" s="39" t="str">
        <f>_xlfn.XLOOKUP(Table1[[#This Row],[ID Equipo]],Hoja2!A:A,Hoja2!D:D,"NO SE ENCONTRO",0)</f>
        <v>UPS</v>
      </c>
      <c r="F15" s="77" t="s">
        <v>848</v>
      </c>
      <c r="G15" s="39"/>
    </row>
    <row r="16" spans="1:9" x14ac:dyDescent="0.3">
      <c r="A16" s="44">
        <v>15</v>
      </c>
      <c r="B16" s="40" t="s">
        <v>23</v>
      </c>
      <c r="C16" s="39" t="s">
        <v>34</v>
      </c>
      <c r="D16" s="39" t="s">
        <v>652</v>
      </c>
      <c r="E16" s="39" t="str">
        <f>_xlfn.XLOOKUP(Table1[[#This Row],[ID Equipo]],Hoja2!A:A,Hoja2!D:D,"NO SE ENCONTRO",0)</f>
        <v>COMPUTADORA DE ESCRITORIO</v>
      </c>
      <c r="F16" s="77" t="s">
        <v>848</v>
      </c>
      <c r="G16" s="39"/>
    </row>
    <row r="17" spans="1:8" x14ac:dyDescent="0.3">
      <c r="A17" s="44">
        <v>16</v>
      </c>
      <c r="B17" s="40" t="s">
        <v>24</v>
      </c>
      <c r="C17" s="39" t="s">
        <v>34</v>
      </c>
      <c r="D17" s="39" t="s">
        <v>652</v>
      </c>
      <c r="E17" s="39" t="str">
        <f>_xlfn.XLOOKUP(Table1[[#This Row],[ID Equipo]],Hoja2!A:A,Hoja2!D:D,"NO SE ENCONTRO",0)</f>
        <v>UPS</v>
      </c>
      <c r="F17" s="77" t="s">
        <v>848</v>
      </c>
      <c r="G17" s="39"/>
    </row>
    <row r="18" spans="1:8" x14ac:dyDescent="0.3">
      <c r="A18" s="44">
        <v>17</v>
      </c>
      <c r="B18" s="35" t="s">
        <v>25</v>
      </c>
      <c r="C18" s="34" t="s">
        <v>35</v>
      </c>
      <c r="D18" s="34" t="s">
        <v>782</v>
      </c>
      <c r="E18" s="34" t="str">
        <f>_xlfn.XLOOKUP(Table1[[#This Row],[ID Equipo]],Hoja2!A:A,Hoja2!D:D,"NO SE ENCONTRO",0)</f>
        <v>UPS</v>
      </c>
      <c r="F18" s="54" t="s">
        <v>848</v>
      </c>
      <c r="G18" s="34"/>
    </row>
    <row r="19" spans="1:8" x14ac:dyDescent="0.3">
      <c r="A19" s="44">
        <v>18</v>
      </c>
      <c r="B19" s="29" t="s">
        <v>26</v>
      </c>
      <c r="C19" s="28" t="s">
        <v>36</v>
      </c>
      <c r="D19" s="28" t="s">
        <v>657</v>
      </c>
      <c r="E19" s="28" t="str">
        <f>_xlfn.XLOOKUP(Table1[[#This Row],[ID Equipo]],Hoja2!A:A,Hoja2!D:D,"NO SE ENCONTRO",0)</f>
        <v>COMPUTADORA DE ESCRITORIO</v>
      </c>
      <c r="F19" s="78" t="s">
        <v>848</v>
      </c>
      <c r="G19" s="28"/>
      <c r="H19" t="s">
        <v>1201</v>
      </c>
    </row>
    <row r="20" spans="1:8" x14ac:dyDescent="0.3">
      <c r="A20" s="44">
        <v>19</v>
      </c>
      <c r="B20" s="29" t="s">
        <v>27</v>
      </c>
      <c r="C20" s="28" t="s">
        <v>36</v>
      </c>
      <c r="D20" s="28" t="s">
        <v>657</v>
      </c>
      <c r="E20" s="28" t="str">
        <f>_xlfn.XLOOKUP(Table1[[#This Row],[ID Equipo]],Hoja2!A:A,Hoja2!D:D,"NO SE ENCONTRO",0)</f>
        <v>IMPRESORA TERMICA</v>
      </c>
      <c r="F20" s="78" t="s">
        <v>848</v>
      </c>
      <c r="G20" s="28"/>
    </row>
    <row r="21" spans="1:8" x14ac:dyDescent="0.3">
      <c r="A21" s="44">
        <v>20</v>
      </c>
      <c r="B21" s="29" t="s">
        <v>28</v>
      </c>
      <c r="C21" s="28" t="s">
        <v>36</v>
      </c>
      <c r="D21" s="28" t="s">
        <v>657</v>
      </c>
      <c r="E21" s="28" t="str">
        <f>_xlfn.XLOOKUP(Table1[[#This Row],[ID Equipo]],Hoja2!A:A,Hoja2!D:D,"NO SE ENCONTRO",0)</f>
        <v>UPS</v>
      </c>
      <c r="F21" s="78" t="s">
        <v>848</v>
      </c>
      <c r="G21" s="28"/>
    </row>
    <row r="22" spans="1:8" x14ac:dyDescent="0.3">
      <c r="A22" s="44">
        <v>21</v>
      </c>
      <c r="B22" s="29" t="s">
        <v>29</v>
      </c>
      <c r="C22" s="28" t="s">
        <v>37</v>
      </c>
      <c r="D22" s="28" t="s">
        <v>657</v>
      </c>
      <c r="E22" s="28" t="str">
        <f>_xlfn.XLOOKUP(Table1[[#This Row],[ID Equipo]],Hoja2!A:A,Hoja2!D:D,"NO SE ENCONTRO",0)</f>
        <v>COMPUTADORA DE ESCRITORIO</v>
      </c>
      <c r="F22" s="78" t="s">
        <v>848</v>
      </c>
      <c r="G22" s="28"/>
    </row>
    <row r="23" spans="1:8" x14ac:dyDescent="0.3">
      <c r="A23" s="44">
        <v>22</v>
      </c>
      <c r="B23" s="29" t="s">
        <v>30</v>
      </c>
      <c r="C23" s="28" t="s">
        <v>37</v>
      </c>
      <c r="D23" s="28" t="s">
        <v>657</v>
      </c>
      <c r="E23" s="28" t="str">
        <f>_xlfn.XLOOKUP(Table1[[#This Row],[ID Equipo]],Hoja2!A:A,Hoja2!D:D,"NO SE ENCONTRO",0)</f>
        <v>IMPRESORA TERMICA</v>
      </c>
      <c r="F23" s="78" t="s">
        <v>848</v>
      </c>
      <c r="G23" s="28"/>
    </row>
    <row r="24" spans="1:8" x14ac:dyDescent="0.3">
      <c r="A24" s="44">
        <v>23</v>
      </c>
      <c r="B24" s="29" t="s">
        <v>31</v>
      </c>
      <c r="C24" s="28" t="s">
        <v>37</v>
      </c>
      <c r="D24" s="28" t="s">
        <v>657</v>
      </c>
      <c r="E24" s="28" t="str">
        <f>_xlfn.XLOOKUP(Table1[[#This Row],[ID Equipo]],Hoja2!A:A,Hoja2!D:D,"NO SE ENCONTRO",0)</f>
        <v>UPS</v>
      </c>
      <c r="F24" s="78" t="s">
        <v>848</v>
      </c>
      <c r="G24" s="28"/>
    </row>
    <row r="25" spans="1:8" x14ac:dyDescent="0.3">
      <c r="A25" s="44">
        <v>24</v>
      </c>
      <c r="B25" s="29" t="s">
        <v>32</v>
      </c>
      <c r="C25" s="28" t="s">
        <v>38</v>
      </c>
      <c r="D25" s="28" t="s">
        <v>657</v>
      </c>
      <c r="E25" s="28" t="str">
        <f>_xlfn.XLOOKUP(Table1[[#This Row],[ID Equipo]],Hoja2!A:A,Hoja2!D:D,"NO SE ENCONTRO",0)</f>
        <v>COMPUTADORA DE ESCRITORIO</v>
      </c>
      <c r="F25" s="78" t="s">
        <v>848</v>
      </c>
      <c r="G25" s="28"/>
    </row>
    <row r="26" spans="1:8" x14ac:dyDescent="0.3">
      <c r="A26" s="44">
        <v>25</v>
      </c>
      <c r="B26" s="29" t="s">
        <v>39</v>
      </c>
      <c r="C26" s="28" t="s">
        <v>38</v>
      </c>
      <c r="D26" s="28" t="s">
        <v>657</v>
      </c>
      <c r="E26" s="28" t="str">
        <f>_xlfn.XLOOKUP(Table1[[#This Row],[ID Equipo]],Hoja2!A:A,Hoja2!D:D,"NO SE ENCONTRO",0)</f>
        <v>IMPRESORA TERMICA</v>
      </c>
      <c r="F26" s="78" t="s">
        <v>848</v>
      </c>
      <c r="G26" s="28"/>
    </row>
    <row r="27" spans="1:8" x14ac:dyDescent="0.3">
      <c r="A27" s="44">
        <v>26</v>
      </c>
      <c r="B27" s="29" t="s">
        <v>40</v>
      </c>
      <c r="C27" s="28" t="s">
        <v>38</v>
      </c>
      <c r="D27" s="28" t="s">
        <v>657</v>
      </c>
      <c r="E27" s="28" t="str">
        <f>_xlfn.XLOOKUP(Table1[[#This Row],[ID Equipo]],Hoja2!A:A,Hoja2!D:D,"NO SE ENCONTRO",0)</f>
        <v>UPS</v>
      </c>
      <c r="F27" s="78" t="s">
        <v>848</v>
      </c>
      <c r="G27" s="28"/>
    </row>
    <row r="28" spans="1:8" x14ac:dyDescent="0.3">
      <c r="A28" s="44">
        <v>27</v>
      </c>
      <c r="B28" s="29" t="s">
        <v>41</v>
      </c>
      <c r="C28" s="28" t="s">
        <v>62</v>
      </c>
      <c r="D28" s="28" t="s">
        <v>657</v>
      </c>
      <c r="E28" s="28" t="str">
        <f>_xlfn.XLOOKUP(Table1[[#This Row],[ID Equipo]],Hoja2!A:A,Hoja2!D:D,"NO SE ENCONTRO",0)</f>
        <v>COMPUTADORA DE ESCRITORIO</v>
      </c>
      <c r="F28" s="78" t="s">
        <v>848</v>
      </c>
      <c r="G28" s="28"/>
    </row>
    <row r="29" spans="1:8" x14ac:dyDescent="0.3">
      <c r="A29" s="44">
        <v>28</v>
      </c>
      <c r="B29" s="29" t="s">
        <v>42</v>
      </c>
      <c r="C29" s="28" t="s">
        <v>62</v>
      </c>
      <c r="D29" s="28" t="s">
        <v>657</v>
      </c>
      <c r="E29" s="28" t="str">
        <f>_xlfn.XLOOKUP(Table1[[#This Row],[ID Equipo]],Hoja2!A:A,Hoja2!D:D,"NO SE ENCONTRO",0)</f>
        <v>IMPRESORA TERMICA</v>
      </c>
      <c r="F29" s="78" t="s">
        <v>848</v>
      </c>
      <c r="G29" s="28"/>
    </row>
    <row r="30" spans="1:8" x14ac:dyDescent="0.3">
      <c r="A30" s="44">
        <v>29</v>
      </c>
      <c r="B30" s="29" t="s">
        <v>43</v>
      </c>
      <c r="C30" s="28" t="s">
        <v>62</v>
      </c>
      <c r="D30" s="28" t="s">
        <v>657</v>
      </c>
      <c r="E30" s="28" t="str">
        <f>_xlfn.XLOOKUP(Table1[[#This Row],[ID Equipo]],Hoja2!A:A,Hoja2!D:D,"NO SE ENCONTRO",0)</f>
        <v>UPS</v>
      </c>
      <c r="F30" s="78" t="s">
        <v>848</v>
      </c>
      <c r="G30" s="28"/>
    </row>
    <row r="31" spans="1:8" x14ac:dyDescent="0.3">
      <c r="A31" s="44">
        <v>30</v>
      </c>
      <c r="B31" s="30" t="s">
        <v>539</v>
      </c>
      <c r="C31" s="28" t="s">
        <v>542</v>
      </c>
      <c r="D31" s="28" t="s">
        <v>657</v>
      </c>
      <c r="E31" s="28" t="s">
        <v>770</v>
      </c>
      <c r="F31" s="78" t="s">
        <v>848</v>
      </c>
      <c r="G31" s="28"/>
    </row>
    <row r="32" spans="1:8" x14ac:dyDescent="0.3">
      <c r="A32" s="44">
        <v>31</v>
      </c>
      <c r="B32" s="29" t="s">
        <v>540</v>
      </c>
      <c r="C32" s="28" t="s">
        <v>542</v>
      </c>
      <c r="D32" s="28" t="s">
        <v>657</v>
      </c>
      <c r="E32" s="28" t="str">
        <f>_xlfn.XLOOKUP(Table1[[#This Row],[ID Equipo]],Hoja2!A:A,Hoja2!D:D,"NO SE ENCONTRO",0)</f>
        <v>IMPRESORA TERMICA</v>
      </c>
      <c r="F32" s="78" t="s">
        <v>848</v>
      </c>
      <c r="G32" s="28"/>
    </row>
    <row r="33" spans="1:7" x14ac:dyDescent="0.3">
      <c r="A33" s="44">
        <v>32</v>
      </c>
      <c r="B33" s="29" t="s">
        <v>541</v>
      </c>
      <c r="C33" s="28" t="s">
        <v>542</v>
      </c>
      <c r="D33" s="28" t="s">
        <v>657</v>
      </c>
      <c r="E33" s="28" t="s">
        <v>771</v>
      </c>
      <c r="F33" s="78" t="s">
        <v>848</v>
      </c>
      <c r="G33" s="28"/>
    </row>
    <row r="34" spans="1:7" x14ac:dyDescent="0.3">
      <c r="A34" s="44">
        <v>33</v>
      </c>
      <c r="B34" s="29" t="s">
        <v>44</v>
      </c>
      <c r="C34" s="28" t="s">
        <v>63</v>
      </c>
      <c r="D34" s="28" t="s">
        <v>657</v>
      </c>
      <c r="E34" s="28" t="str">
        <f>_xlfn.XLOOKUP(Table1[[#This Row],[ID Equipo]],Hoja2!A:A,Hoja2!D:D,"NO SE ENCONTRO",0)</f>
        <v>COMPUTADORA DE ESCRITORIO</v>
      </c>
      <c r="F34" s="78" t="s">
        <v>848</v>
      </c>
      <c r="G34" s="28"/>
    </row>
    <row r="35" spans="1:7" x14ac:dyDescent="0.3">
      <c r="A35" s="44">
        <v>34</v>
      </c>
      <c r="B35" s="29" t="s">
        <v>45</v>
      </c>
      <c r="C35" s="28" t="s">
        <v>63</v>
      </c>
      <c r="D35" s="28" t="s">
        <v>657</v>
      </c>
      <c r="E35" s="28" t="str">
        <f>_xlfn.XLOOKUP(Table1[[#This Row],[ID Equipo]],Hoja2!A:A,Hoja2!D:D,"NO SE ENCONTRO",0)</f>
        <v>IMPRESORA TERMICA</v>
      </c>
      <c r="F35" s="78" t="s">
        <v>848</v>
      </c>
      <c r="G35" s="28"/>
    </row>
    <row r="36" spans="1:7" x14ac:dyDescent="0.3">
      <c r="A36" s="44">
        <v>35</v>
      </c>
      <c r="B36" s="29" t="s">
        <v>46</v>
      </c>
      <c r="C36" s="28" t="s">
        <v>63</v>
      </c>
      <c r="D36" s="28" t="s">
        <v>657</v>
      </c>
      <c r="E36" s="28" t="str">
        <f>_xlfn.XLOOKUP(Table1[[#This Row],[ID Equipo]],Hoja2!A:A,Hoja2!D:D,"NO SE ENCONTRO",0)</f>
        <v>UPS</v>
      </c>
      <c r="F36" s="78" t="s">
        <v>848</v>
      </c>
      <c r="G36" s="28"/>
    </row>
    <row r="37" spans="1:7" x14ac:dyDescent="0.3">
      <c r="A37" s="44">
        <v>36</v>
      </c>
      <c r="B37" s="35" t="s">
        <v>48</v>
      </c>
      <c r="C37" s="34" t="s">
        <v>64</v>
      </c>
      <c r="D37" s="34" t="s">
        <v>782</v>
      </c>
      <c r="E37" s="34" t="str">
        <f>_xlfn.XLOOKUP(Table1[[#This Row],[ID Equipo]],Hoja2!A:A,Hoja2!D:D,"NO SE ENCONTRO",0)</f>
        <v>UPS</v>
      </c>
      <c r="F37" s="54" t="s">
        <v>848</v>
      </c>
      <c r="G37" s="34"/>
    </row>
    <row r="38" spans="1:7" x14ac:dyDescent="0.3">
      <c r="A38" s="44">
        <v>37</v>
      </c>
      <c r="B38" s="29" t="s">
        <v>49</v>
      </c>
      <c r="C38" s="28" t="s">
        <v>65</v>
      </c>
      <c r="D38" s="28" t="s">
        <v>657</v>
      </c>
      <c r="E38" s="28" t="str">
        <f>_xlfn.XLOOKUP(Table1[[#This Row],[ID Equipo]],Hoja2!A:A,Hoja2!D:D,"NO SE ENCONTRO",0)</f>
        <v>COMPUTADORA DE ESCRITORIO</v>
      </c>
      <c r="F38" s="78" t="s">
        <v>848</v>
      </c>
      <c r="G38" s="28"/>
    </row>
    <row r="39" spans="1:7" x14ac:dyDescent="0.3">
      <c r="A39" s="44">
        <v>38</v>
      </c>
      <c r="B39" s="29" t="s">
        <v>50</v>
      </c>
      <c r="C39" s="28" t="s">
        <v>65</v>
      </c>
      <c r="D39" s="28" t="s">
        <v>657</v>
      </c>
      <c r="E39" s="28" t="str">
        <f>_xlfn.XLOOKUP(Table1[[#This Row],[ID Equipo]],Hoja2!A:A,Hoja2!D:D,"NO SE ENCONTRO",0)</f>
        <v>IMPRESORA TERMICA</v>
      </c>
      <c r="F39" s="78" t="s">
        <v>848</v>
      </c>
      <c r="G39" s="28"/>
    </row>
    <row r="40" spans="1:7" x14ac:dyDescent="0.3">
      <c r="A40" s="44">
        <v>39</v>
      </c>
      <c r="B40" s="29" t="s">
        <v>51</v>
      </c>
      <c r="C40" s="28" t="s">
        <v>65</v>
      </c>
      <c r="D40" s="28" t="s">
        <v>657</v>
      </c>
      <c r="E40" s="28" t="str">
        <f>_xlfn.XLOOKUP(Table1[[#This Row],[ID Equipo]],Hoja2!A:A,Hoja2!D:D,"NO SE ENCONTRO",0)</f>
        <v>UPS</v>
      </c>
      <c r="F40" s="78" t="s">
        <v>848</v>
      </c>
      <c r="G40" s="28"/>
    </row>
    <row r="41" spans="1:7" x14ac:dyDescent="0.3">
      <c r="A41" s="44">
        <v>40</v>
      </c>
      <c r="B41" s="29" t="s">
        <v>66</v>
      </c>
      <c r="C41" s="28" t="s">
        <v>67</v>
      </c>
      <c r="D41" s="28" t="s">
        <v>657</v>
      </c>
      <c r="E41" s="28" t="str">
        <f>_xlfn.XLOOKUP(Table1[[#This Row],[ID Equipo]],Hoja2!A:A,Hoja2!D:D,"NO SE ENCONTRO",0)</f>
        <v>COMPUTADORA DE ESCRITORIO</v>
      </c>
      <c r="F41" s="78" t="s">
        <v>848</v>
      </c>
      <c r="G41" s="28"/>
    </row>
    <row r="42" spans="1:7" x14ac:dyDescent="0.3">
      <c r="A42" s="44">
        <v>41</v>
      </c>
      <c r="B42" s="29" t="s">
        <v>52</v>
      </c>
      <c r="C42" s="28" t="s">
        <v>67</v>
      </c>
      <c r="D42" s="28" t="s">
        <v>657</v>
      </c>
      <c r="E42" s="28" t="str">
        <f>_xlfn.XLOOKUP(Table1[[#This Row],[ID Equipo]],Hoja2!A:A,Hoja2!D:D,"NO SE ENCONTRO",0)</f>
        <v>IMPRESORA TERMICA</v>
      </c>
      <c r="F42" s="78" t="s">
        <v>848</v>
      </c>
      <c r="G42" s="28"/>
    </row>
    <row r="43" spans="1:7" x14ac:dyDescent="0.3">
      <c r="A43" s="44">
        <v>42</v>
      </c>
      <c r="B43" s="29" t="s">
        <v>53</v>
      </c>
      <c r="C43" s="28" t="s">
        <v>67</v>
      </c>
      <c r="D43" s="28" t="s">
        <v>657</v>
      </c>
      <c r="E43" s="28" t="str">
        <f>_xlfn.XLOOKUP(Table1[[#This Row],[ID Equipo]],Hoja2!A:A,Hoja2!D:D,"NO SE ENCONTRO",0)</f>
        <v>UPS</v>
      </c>
      <c r="F43" s="78" t="s">
        <v>848</v>
      </c>
      <c r="G43" s="28"/>
    </row>
    <row r="44" spans="1:7" x14ac:dyDescent="0.3">
      <c r="A44" s="44">
        <v>43</v>
      </c>
      <c r="B44" s="35" t="s">
        <v>54</v>
      </c>
      <c r="C44" s="34" t="s">
        <v>68</v>
      </c>
      <c r="D44" s="34" t="s">
        <v>782</v>
      </c>
      <c r="E44" s="34" t="s">
        <v>771</v>
      </c>
      <c r="F44" s="54" t="s">
        <v>848</v>
      </c>
      <c r="G44" s="34"/>
    </row>
    <row r="45" spans="1:7" x14ac:dyDescent="0.3">
      <c r="A45" s="44">
        <v>44</v>
      </c>
      <c r="B45" s="40" t="s">
        <v>55</v>
      </c>
      <c r="C45" s="39" t="s">
        <v>69</v>
      </c>
      <c r="D45" s="39" t="s">
        <v>652</v>
      </c>
      <c r="E45" s="39" t="s">
        <v>770</v>
      </c>
      <c r="F45" s="77" t="s">
        <v>848</v>
      </c>
      <c r="G45" s="39"/>
    </row>
    <row r="46" spans="1:7" x14ac:dyDescent="0.3">
      <c r="A46" s="44">
        <v>45</v>
      </c>
      <c r="B46" s="40" t="s">
        <v>56</v>
      </c>
      <c r="C46" s="39" t="s">
        <v>69</v>
      </c>
      <c r="D46" s="39" t="s">
        <v>652</v>
      </c>
      <c r="E46" s="39" t="str">
        <f>_xlfn.XLOOKUP(Table1[[#This Row],[ID Equipo]],Hoja2!A:A,Hoja2!D:D,"NO SE ENCONTRO",0)</f>
        <v>UPS</v>
      </c>
      <c r="F46" s="77" t="s">
        <v>848</v>
      </c>
      <c r="G46" s="39"/>
    </row>
    <row r="47" spans="1:7" x14ac:dyDescent="0.3">
      <c r="A47" s="44">
        <v>46</v>
      </c>
      <c r="B47" s="29" t="s">
        <v>57</v>
      </c>
      <c r="C47" s="28" t="s">
        <v>70</v>
      </c>
      <c r="D47" s="28" t="s">
        <v>657</v>
      </c>
      <c r="E47" s="28" t="str">
        <f>_xlfn.XLOOKUP(Table1[[#This Row],[ID Equipo]],Hoja2!A:A,Hoja2!D:D,"NO SE ENCONTRO",0)</f>
        <v>COMPUTADORA DE ESCRITORIO</v>
      </c>
      <c r="F47" s="78" t="s">
        <v>848</v>
      </c>
      <c r="G47" s="28" t="s">
        <v>791</v>
      </c>
    </row>
    <row r="48" spans="1:7" x14ac:dyDescent="0.3">
      <c r="A48" s="44">
        <v>47</v>
      </c>
      <c r="B48" s="29" t="s">
        <v>58</v>
      </c>
      <c r="C48" s="28" t="s">
        <v>70</v>
      </c>
      <c r="D48" s="28" t="s">
        <v>657</v>
      </c>
      <c r="E48" s="28" t="str">
        <f>_xlfn.XLOOKUP(Table1[[#This Row],[ID Equipo]],Hoja2!A:A,Hoja2!D:D,"NO SE ENCONTRO",0)</f>
        <v>UPS</v>
      </c>
      <c r="F48" s="78" t="s">
        <v>848</v>
      </c>
      <c r="G48" s="28" t="s">
        <v>791</v>
      </c>
    </row>
    <row r="49" spans="1:7" x14ac:dyDescent="0.3">
      <c r="A49" s="44">
        <v>48</v>
      </c>
      <c r="B49" s="29" t="s">
        <v>59</v>
      </c>
      <c r="C49" s="28" t="s">
        <v>71</v>
      </c>
      <c r="D49" s="28" t="s">
        <v>657</v>
      </c>
      <c r="E49" s="28" t="s">
        <v>770</v>
      </c>
      <c r="F49" s="78" t="s">
        <v>848</v>
      </c>
      <c r="G49" s="28" t="s">
        <v>791</v>
      </c>
    </row>
    <row r="50" spans="1:7" x14ac:dyDescent="0.3">
      <c r="A50" s="44">
        <v>49</v>
      </c>
      <c r="B50" s="29" t="s">
        <v>60</v>
      </c>
      <c r="C50" s="28" t="s">
        <v>71</v>
      </c>
      <c r="D50" s="28" t="s">
        <v>657</v>
      </c>
      <c r="E50" s="28" t="str">
        <f>_xlfn.XLOOKUP(Table1[[#This Row],[ID Equipo]],Hoja2!A:A,Hoja2!D:D,"NO SE ENCONTRO",0)</f>
        <v>UPS</v>
      </c>
      <c r="F50" s="78" t="s">
        <v>848</v>
      </c>
      <c r="G50" s="28" t="s">
        <v>791</v>
      </c>
    </row>
    <row r="51" spans="1:7" x14ac:dyDescent="0.3">
      <c r="A51" s="44">
        <v>50</v>
      </c>
      <c r="B51" s="29" t="s">
        <v>61</v>
      </c>
      <c r="C51" s="28" t="s">
        <v>72</v>
      </c>
      <c r="D51" s="28" t="s">
        <v>657</v>
      </c>
      <c r="E51" s="28" t="str">
        <f>_xlfn.XLOOKUP(Table1[[#This Row],[ID Equipo]],Hoja2!A:A,Hoja2!D:D,"NO SE ENCONTRO",0)</f>
        <v>COMPUTADORA DE ESCRITORIO</v>
      </c>
      <c r="F51" s="78" t="s">
        <v>848</v>
      </c>
      <c r="G51" s="28"/>
    </row>
    <row r="52" spans="1:7" x14ac:dyDescent="0.3">
      <c r="A52" s="44">
        <v>51</v>
      </c>
      <c r="B52" s="29" t="s">
        <v>73</v>
      </c>
      <c r="C52" s="28" t="s">
        <v>72</v>
      </c>
      <c r="D52" s="28" t="s">
        <v>657</v>
      </c>
      <c r="E52" s="28" t="str">
        <f>_xlfn.XLOOKUP(Table1[[#This Row],[ID Equipo]],Hoja2!A:A,Hoja2!D:D,"NO SE ENCONTRO",0)</f>
        <v>IMPRESORA TERMICA</v>
      </c>
      <c r="F52" s="78" t="s">
        <v>848</v>
      </c>
      <c r="G52" s="28"/>
    </row>
    <row r="53" spans="1:7" x14ac:dyDescent="0.3">
      <c r="A53" s="44">
        <v>52</v>
      </c>
      <c r="B53" s="29" t="s">
        <v>74</v>
      </c>
      <c r="C53" s="28" t="s">
        <v>72</v>
      </c>
      <c r="D53" s="28" t="s">
        <v>657</v>
      </c>
      <c r="E53" s="28" t="str">
        <f>_xlfn.XLOOKUP(Table1[[#This Row],[ID Equipo]],Hoja2!A:A,Hoja2!D:D,"NO SE ENCONTRO",0)</f>
        <v>UPS</v>
      </c>
      <c r="F53" s="78" t="s">
        <v>848</v>
      </c>
      <c r="G53" s="28"/>
    </row>
    <row r="54" spans="1:7" x14ac:dyDescent="0.3">
      <c r="A54" s="44">
        <v>53</v>
      </c>
      <c r="B54" s="29" t="s">
        <v>75</v>
      </c>
      <c r="C54" s="28" t="s">
        <v>97</v>
      </c>
      <c r="D54" s="28" t="s">
        <v>657</v>
      </c>
      <c r="E54" s="28" t="s">
        <v>770</v>
      </c>
      <c r="F54" s="78" t="s">
        <v>848</v>
      </c>
      <c r="G54" s="28"/>
    </row>
    <row r="55" spans="1:7" x14ac:dyDescent="0.3">
      <c r="A55" s="44">
        <v>54</v>
      </c>
      <c r="B55" s="29" t="s">
        <v>76</v>
      </c>
      <c r="C55" s="28" t="s">
        <v>97</v>
      </c>
      <c r="D55" s="28" t="s">
        <v>657</v>
      </c>
      <c r="E55" s="28" t="str">
        <f>_xlfn.XLOOKUP(Table1[[#This Row],[ID Equipo]],Hoja2!A:A,Hoja2!D:D,"NO SE ENCONTRO",0)</f>
        <v>IMPRESORA TERMICA</v>
      </c>
      <c r="F55" s="78" t="s">
        <v>848</v>
      </c>
      <c r="G55" s="28"/>
    </row>
    <row r="56" spans="1:7" x14ac:dyDescent="0.3">
      <c r="A56" s="44">
        <v>55</v>
      </c>
      <c r="B56" s="29" t="s">
        <v>77</v>
      </c>
      <c r="C56" s="28" t="s">
        <v>97</v>
      </c>
      <c r="D56" s="28" t="s">
        <v>657</v>
      </c>
      <c r="E56" s="28" t="str">
        <f>_xlfn.XLOOKUP(Table1[[#This Row],[ID Equipo]],Hoja2!A:A,Hoja2!D:D,"NO SE ENCONTRO",0)</f>
        <v>UPS</v>
      </c>
      <c r="F56" s="78" t="s">
        <v>848</v>
      </c>
      <c r="G56" s="28"/>
    </row>
    <row r="57" spans="1:7" x14ac:dyDescent="0.3">
      <c r="A57" s="44">
        <v>56</v>
      </c>
      <c r="B57" s="29" t="s">
        <v>78</v>
      </c>
      <c r="C57" s="28" t="s">
        <v>98</v>
      </c>
      <c r="D57" s="28" t="s">
        <v>657</v>
      </c>
      <c r="E57" s="28" t="s">
        <v>770</v>
      </c>
      <c r="F57" s="78" t="s">
        <v>848</v>
      </c>
      <c r="G57" s="28"/>
    </row>
    <row r="58" spans="1:7" x14ac:dyDescent="0.3">
      <c r="A58" s="44">
        <v>57</v>
      </c>
      <c r="B58" s="29" t="s">
        <v>79</v>
      </c>
      <c r="C58" s="28" t="s">
        <v>98</v>
      </c>
      <c r="D58" s="28" t="s">
        <v>657</v>
      </c>
      <c r="E58" s="28" t="str">
        <f>_xlfn.XLOOKUP(Table1[[#This Row],[ID Equipo]],Hoja2!A:A,Hoja2!D:D,"NO SE ENCONTRO",0)</f>
        <v>IMPRESORA TERMICA</v>
      </c>
      <c r="F58" s="78" t="s">
        <v>848</v>
      </c>
      <c r="G58" s="28"/>
    </row>
    <row r="59" spans="1:7" x14ac:dyDescent="0.3">
      <c r="A59" s="44">
        <v>58</v>
      </c>
      <c r="B59" s="29" t="s">
        <v>80</v>
      </c>
      <c r="C59" s="28" t="s">
        <v>98</v>
      </c>
      <c r="D59" s="28" t="s">
        <v>657</v>
      </c>
      <c r="E59" s="28" t="str">
        <f>_xlfn.XLOOKUP(Table1[[#This Row],[ID Equipo]],Hoja2!A:A,Hoja2!D:D,"NO SE ENCONTRO",0)</f>
        <v>UPS</v>
      </c>
      <c r="F59" s="78" t="s">
        <v>848</v>
      </c>
      <c r="G59" s="28"/>
    </row>
    <row r="60" spans="1:7" x14ac:dyDescent="0.3">
      <c r="A60" s="44">
        <v>59</v>
      </c>
      <c r="B60" s="29" t="s">
        <v>81</v>
      </c>
      <c r="C60" s="28" t="s">
        <v>99</v>
      </c>
      <c r="D60" s="28" t="s">
        <v>657</v>
      </c>
      <c r="E60" s="28" t="s">
        <v>770</v>
      </c>
      <c r="F60" s="78" t="s">
        <v>848</v>
      </c>
      <c r="G60" s="28" t="s">
        <v>791</v>
      </c>
    </row>
    <row r="61" spans="1:7" x14ac:dyDescent="0.3">
      <c r="A61" s="44">
        <v>60</v>
      </c>
      <c r="B61" s="29" t="s">
        <v>82</v>
      </c>
      <c r="C61" s="28" t="s">
        <v>99</v>
      </c>
      <c r="D61" s="28" t="s">
        <v>657</v>
      </c>
      <c r="E61" s="28" t="str">
        <f>_xlfn.XLOOKUP(Table1[[#This Row],[ID Equipo]],Hoja2!A:A,Hoja2!D:D,"NO SE ENCONTRO",0)</f>
        <v>UPS</v>
      </c>
      <c r="F61" s="78" t="s">
        <v>848</v>
      </c>
      <c r="G61" s="28" t="s">
        <v>791</v>
      </c>
    </row>
    <row r="62" spans="1:7" x14ac:dyDescent="0.3">
      <c r="A62" s="44">
        <v>61</v>
      </c>
      <c r="B62" s="45" t="s">
        <v>83</v>
      </c>
      <c r="C62" s="44" t="s">
        <v>793</v>
      </c>
      <c r="D62" s="44" t="s">
        <v>651</v>
      </c>
      <c r="E62" s="44" t="str">
        <f>_xlfn.XLOOKUP(Table1[[#This Row],[ID Equipo]],Hoja2!A:A,Hoja2!D:D,"NO SE ENCONTRO",0)</f>
        <v>COMPUTADORA DE ESCRITORIO</v>
      </c>
      <c r="F62" s="76" t="s">
        <v>848</v>
      </c>
      <c r="G62" s="44" t="s">
        <v>799</v>
      </c>
    </row>
    <row r="63" spans="1:7" x14ac:dyDescent="0.3">
      <c r="A63" s="44">
        <v>62</v>
      </c>
      <c r="B63" s="45" t="s">
        <v>84</v>
      </c>
      <c r="C63" s="44" t="s">
        <v>793</v>
      </c>
      <c r="D63" s="44" t="s">
        <v>651</v>
      </c>
      <c r="E63" s="44" t="s">
        <v>771</v>
      </c>
      <c r="F63" s="76" t="s">
        <v>848</v>
      </c>
      <c r="G63" s="44" t="s">
        <v>799</v>
      </c>
    </row>
    <row r="64" spans="1:7" x14ac:dyDescent="0.3">
      <c r="A64" s="44">
        <v>63</v>
      </c>
      <c r="B64" s="29" t="s">
        <v>85</v>
      </c>
      <c r="C64" s="28" t="s">
        <v>100</v>
      </c>
      <c r="D64" s="28" t="s">
        <v>657</v>
      </c>
      <c r="E64" s="28" t="str">
        <f>_xlfn.XLOOKUP(Table1[[#This Row],[ID Equipo]],Hoja2!A:A,Hoja2!D:D,"NO SE ENCONTRO",0)</f>
        <v>COMPUTADORA DE ESCRITORIO</v>
      </c>
      <c r="F64" s="78" t="s">
        <v>848</v>
      </c>
      <c r="G64" s="28"/>
    </row>
    <row r="65" spans="1:7" x14ac:dyDescent="0.3">
      <c r="A65" s="44">
        <v>64</v>
      </c>
      <c r="B65" s="29" t="s">
        <v>86</v>
      </c>
      <c r="C65" s="28" t="s">
        <v>100</v>
      </c>
      <c r="D65" s="28" t="s">
        <v>657</v>
      </c>
      <c r="E65" s="28" t="str">
        <f>_xlfn.XLOOKUP(Table1[[#This Row],[ID Equipo]],Hoja2!A:A,Hoja2!D:D,"NO SE ENCONTRO",0)</f>
        <v>IMPRESORA TERMICA</v>
      </c>
      <c r="F65" s="78" t="s">
        <v>848</v>
      </c>
      <c r="G65" s="28"/>
    </row>
    <row r="66" spans="1:7" x14ac:dyDescent="0.3">
      <c r="A66" s="44">
        <v>65</v>
      </c>
      <c r="B66" s="29" t="s">
        <v>87</v>
      </c>
      <c r="C66" s="28" t="s">
        <v>100</v>
      </c>
      <c r="D66" s="28" t="s">
        <v>657</v>
      </c>
      <c r="E66" s="28" t="str">
        <f>_xlfn.XLOOKUP(Table1[[#This Row],[ID Equipo]],Hoja2!A:A,Hoja2!D:D,"NO SE ENCONTRO",0)</f>
        <v>UPS</v>
      </c>
      <c r="F66" s="78" t="s">
        <v>848</v>
      </c>
      <c r="G66" s="28"/>
    </row>
    <row r="67" spans="1:7" x14ac:dyDescent="0.3">
      <c r="A67" s="44">
        <v>66</v>
      </c>
      <c r="B67" s="29" t="s">
        <v>88</v>
      </c>
      <c r="C67" s="28" t="s">
        <v>101</v>
      </c>
      <c r="D67" s="28" t="s">
        <v>657</v>
      </c>
      <c r="E67" s="28" t="s">
        <v>770</v>
      </c>
      <c r="F67" s="78" t="s">
        <v>848</v>
      </c>
      <c r="G67" s="28"/>
    </row>
    <row r="68" spans="1:7" x14ac:dyDescent="0.3">
      <c r="A68" s="44">
        <v>67</v>
      </c>
      <c r="B68" s="29" t="s">
        <v>89</v>
      </c>
      <c r="C68" s="28" t="s">
        <v>101</v>
      </c>
      <c r="D68" s="28" t="s">
        <v>657</v>
      </c>
      <c r="E68" s="28" t="str">
        <f>_xlfn.XLOOKUP(Table1[[#This Row],[ID Equipo]],Hoja2!A:A,Hoja2!D:D,"NO SE ENCONTRO",0)</f>
        <v>IMPRESORA TERMICA</v>
      </c>
      <c r="F68" s="78" t="s">
        <v>848</v>
      </c>
      <c r="G68" s="28"/>
    </row>
    <row r="69" spans="1:7" x14ac:dyDescent="0.3">
      <c r="A69" s="44">
        <v>68</v>
      </c>
      <c r="B69" s="29" t="s">
        <v>90</v>
      </c>
      <c r="C69" s="28" t="s">
        <v>101</v>
      </c>
      <c r="D69" s="28" t="s">
        <v>657</v>
      </c>
      <c r="E69" s="28" t="str">
        <f>_xlfn.XLOOKUP(Table1[[#This Row],[ID Equipo]],Hoja2!A:A,Hoja2!D:D,"NO SE ENCONTRO",0)</f>
        <v>UPS</v>
      </c>
      <c r="F69" s="78" t="s">
        <v>848</v>
      </c>
      <c r="G69" s="28"/>
    </row>
    <row r="70" spans="1:7" x14ac:dyDescent="0.3">
      <c r="A70" s="44">
        <v>69</v>
      </c>
      <c r="B70" s="29" t="s">
        <v>91</v>
      </c>
      <c r="C70" s="28" t="s">
        <v>102</v>
      </c>
      <c r="D70" s="28" t="s">
        <v>657</v>
      </c>
      <c r="E70" s="28" t="str">
        <f>_xlfn.XLOOKUP(Table1[[#This Row],[ID Equipo]],Hoja2!A:A,Hoja2!D:D,"NO SE ENCONTRO",0)</f>
        <v>COMPUTADORA DE ESCRITORIO</v>
      </c>
      <c r="F70" s="78" t="s">
        <v>848</v>
      </c>
      <c r="G70" s="28"/>
    </row>
    <row r="71" spans="1:7" x14ac:dyDescent="0.3">
      <c r="A71" s="44">
        <v>70</v>
      </c>
      <c r="B71" s="29" t="s">
        <v>92</v>
      </c>
      <c r="C71" s="28" t="s">
        <v>102</v>
      </c>
      <c r="D71" s="28" t="s">
        <v>657</v>
      </c>
      <c r="E71" s="28" t="str">
        <f>_xlfn.XLOOKUP(Table1[[#This Row],[ID Equipo]],Hoja2!A:A,Hoja2!D:D,"NO SE ENCONTRO",0)</f>
        <v>IMPRESORA TERMICA</v>
      </c>
      <c r="F71" s="78" t="s">
        <v>848</v>
      </c>
      <c r="G71" s="28"/>
    </row>
    <row r="72" spans="1:7" x14ac:dyDescent="0.3">
      <c r="A72" s="44">
        <v>71</v>
      </c>
      <c r="B72" s="29" t="s">
        <v>93</v>
      </c>
      <c r="C72" s="28" t="s">
        <v>102</v>
      </c>
      <c r="D72" s="28" t="s">
        <v>657</v>
      </c>
      <c r="E72" s="28" t="str">
        <f>_xlfn.XLOOKUP(Table1[[#This Row],[ID Equipo]],Hoja2!A:A,Hoja2!D:D,"NO SE ENCONTRO",0)</f>
        <v>UPS</v>
      </c>
      <c r="F72" s="78" t="s">
        <v>848</v>
      </c>
      <c r="G72" s="28"/>
    </row>
    <row r="73" spans="1:7" x14ac:dyDescent="0.3">
      <c r="A73" s="44">
        <v>72</v>
      </c>
      <c r="B73" s="40" t="s">
        <v>94</v>
      </c>
      <c r="C73" s="39" t="s">
        <v>103</v>
      </c>
      <c r="D73" s="39" t="s">
        <v>652</v>
      </c>
      <c r="E73" s="39" t="str">
        <f>_xlfn.XLOOKUP(Table1[[#This Row],[ID Equipo]],Hoja2!A:A,Hoja2!D:D,"NO SE ENCONTRO",0)</f>
        <v>COMPUTADORA DE ESCRITORIO</v>
      </c>
      <c r="F73" s="77" t="s">
        <v>848</v>
      </c>
      <c r="G73" s="39"/>
    </row>
    <row r="74" spans="1:7" x14ac:dyDescent="0.3">
      <c r="A74" s="44">
        <v>73</v>
      </c>
      <c r="B74" s="40" t="s">
        <v>95</v>
      </c>
      <c r="C74" s="39" t="s">
        <v>103</v>
      </c>
      <c r="D74" s="39" t="s">
        <v>652</v>
      </c>
      <c r="E74" s="39" t="str">
        <f>_xlfn.XLOOKUP(Table1[[#This Row],[ID Equipo]],Hoja2!A:A,Hoja2!D:D,"NO SE ENCONTRO",0)</f>
        <v>UPS</v>
      </c>
      <c r="F74" s="77" t="s">
        <v>848</v>
      </c>
      <c r="G74" s="39"/>
    </row>
    <row r="75" spans="1:7" x14ac:dyDescent="0.3">
      <c r="A75" s="44">
        <v>74</v>
      </c>
      <c r="B75" s="40" t="s">
        <v>96</v>
      </c>
      <c r="C75" s="39" t="s">
        <v>104</v>
      </c>
      <c r="D75" s="39" t="s">
        <v>652</v>
      </c>
      <c r="E75" s="39" t="str">
        <f>_xlfn.XLOOKUP(Table1[[#This Row],[ID Equipo]],Hoja2!A:A,Hoja2!D:D,"NO SE ENCONTRO",0)</f>
        <v>COMPUTADORA DE ESCRITORIO</v>
      </c>
      <c r="F75" s="77" t="s">
        <v>848</v>
      </c>
      <c r="G75" s="39"/>
    </row>
    <row r="76" spans="1:7" x14ac:dyDescent="0.3">
      <c r="A76" s="44">
        <v>75</v>
      </c>
      <c r="B76" s="40" t="s">
        <v>105</v>
      </c>
      <c r="C76" s="39" t="s">
        <v>104</v>
      </c>
      <c r="D76" s="39" t="s">
        <v>652</v>
      </c>
      <c r="E76" s="39" t="str">
        <f>_xlfn.XLOOKUP(Table1[[#This Row],[ID Equipo]],Hoja2!A:A,Hoja2!D:D,"NO SE ENCONTRO",0)</f>
        <v>UPS</v>
      </c>
      <c r="F76" s="77" t="s">
        <v>848</v>
      </c>
      <c r="G76" s="39"/>
    </row>
    <row r="77" spans="1:7" x14ac:dyDescent="0.3">
      <c r="A77" s="44">
        <v>76</v>
      </c>
      <c r="B77" s="29" t="s">
        <v>106</v>
      </c>
      <c r="C77" s="28" t="s">
        <v>129</v>
      </c>
      <c r="D77" s="28" t="s">
        <v>657</v>
      </c>
      <c r="E77" s="28" t="str">
        <f>_xlfn.XLOOKUP(Table1[[#This Row],[ID Equipo]],Hoja2!A:A,Hoja2!D:D,"NO SE ENCONTRO",0)</f>
        <v>COMPUTADORA DE ESCRITORIO</v>
      </c>
      <c r="F77" s="78" t="s">
        <v>848</v>
      </c>
      <c r="G77" s="28"/>
    </row>
    <row r="78" spans="1:7" x14ac:dyDescent="0.3">
      <c r="A78" s="44">
        <v>77</v>
      </c>
      <c r="B78" s="29" t="s">
        <v>107</v>
      </c>
      <c r="C78" s="28" t="s">
        <v>129</v>
      </c>
      <c r="D78" s="28" t="s">
        <v>657</v>
      </c>
      <c r="E78" s="28" t="str">
        <f>_xlfn.XLOOKUP(Table1[[#This Row],[ID Equipo]],Hoja2!A:A,Hoja2!D:D,"NO SE ENCONTRO",0)</f>
        <v>IMPRESORA TERMICA</v>
      </c>
      <c r="F78" s="78" t="s">
        <v>848</v>
      </c>
      <c r="G78" s="28"/>
    </row>
    <row r="79" spans="1:7" x14ac:dyDescent="0.3">
      <c r="A79" s="44">
        <v>78</v>
      </c>
      <c r="B79" s="29" t="s">
        <v>108</v>
      </c>
      <c r="C79" s="28" t="s">
        <v>129</v>
      </c>
      <c r="D79" s="28" t="s">
        <v>657</v>
      </c>
      <c r="E79" s="28" t="str">
        <f>_xlfn.XLOOKUP(Table1[[#This Row],[ID Equipo]],Hoja2!A:A,Hoja2!D:D,"NO SE ENCONTRO",0)</f>
        <v>UPS</v>
      </c>
      <c r="F79" s="78" t="s">
        <v>848</v>
      </c>
      <c r="G79" s="28"/>
    </row>
    <row r="80" spans="1:7" x14ac:dyDescent="0.3">
      <c r="A80" s="44">
        <v>79</v>
      </c>
      <c r="B80" s="40" t="s">
        <v>109</v>
      </c>
      <c r="C80" s="39" t="s">
        <v>130</v>
      </c>
      <c r="D80" s="39" t="s">
        <v>652</v>
      </c>
      <c r="E80" s="39" t="str">
        <f>_xlfn.XLOOKUP(Table1[[#This Row],[ID Equipo]],Hoja2!A:A,Hoja2!D:D,"NO SE ENCONTRO",0)</f>
        <v>COMPUTADORA DE ESCRITORIO</v>
      </c>
      <c r="F80" s="77" t="s">
        <v>848</v>
      </c>
      <c r="G80" s="39"/>
    </row>
    <row r="81" spans="1:13" x14ac:dyDescent="0.3">
      <c r="A81" s="44">
        <v>80</v>
      </c>
      <c r="B81" s="40" t="s">
        <v>110</v>
      </c>
      <c r="C81" s="39" t="s">
        <v>130</v>
      </c>
      <c r="D81" s="39" t="s">
        <v>652</v>
      </c>
      <c r="E81" s="39" t="str">
        <f>_xlfn.XLOOKUP(Table1[[#This Row],[ID Equipo]],Hoja2!A:A,Hoja2!D:D,"NO SE ENCONTRO",0)</f>
        <v>UPS</v>
      </c>
      <c r="F81" s="77" t="s">
        <v>848</v>
      </c>
      <c r="G81" s="39"/>
    </row>
    <row r="82" spans="1:13" x14ac:dyDescent="0.3">
      <c r="A82" s="44">
        <v>81</v>
      </c>
      <c r="B82" s="40" t="s">
        <v>593</v>
      </c>
      <c r="C82" s="39" t="s">
        <v>594</v>
      </c>
      <c r="D82" s="39" t="s">
        <v>652</v>
      </c>
      <c r="E82" s="39" t="s">
        <v>770</v>
      </c>
      <c r="F82" s="77" t="s">
        <v>848</v>
      </c>
      <c r="G82" s="39"/>
    </row>
    <row r="83" spans="1:13" x14ac:dyDescent="0.3">
      <c r="A83" s="44">
        <v>82</v>
      </c>
      <c r="B83" s="39" t="s">
        <v>773</v>
      </c>
      <c r="C83" s="39" t="s">
        <v>594</v>
      </c>
      <c r="D83" s="39" t="s">
        <v>652</v>
      </c>
      <c r="E83" s="39" t="s">
        <v>771</v>
      </c>
      <c r="F83" s="77" t="s">
        <v>848</v>
      </c>
      <c r="G83" s="39"/>
    </row>
    <row r="84" spans="1:13" x14ac:dyDescent="0.3">
      <c r="A84" s="44">
        <v>83</v>
      </c>
      <c r="B84" s="40" t="s">
        <v>111</v>
      </c>
      <c r="C84" s="39" t="s">
        <v>131</v>
      </c>
      <c r="D84" s="39" t="s">
        <v>652</v>
      </c>
      <c r="E84" s="39" t="s">
        <v>770</v>
      </c>
      <c r="F84" s="77" t="s">
        <v>848</v>
      </c>
      <c r="G84" s="39" t="s">
        <v>790</v>
      </c>
    </row>
    <row r="85" spans="1:13" x14ac:dyDescent="0.3">
      <c r="A85" s="44">
        <v>84</v>
      </c>
      <c r="B85" s="40" t="s">
        <v>112</v>
      </c>
      <c r="C85" s="39" t="s">
        <v>131</v>
      </c>
      <c r="D85" s="39" t="s">
        <v>652</v>
      </c>
      <c r="E85" s="39" t="str">
        <f>_xlfn.XLOOKUP(Table1[[#This Row],[ID Equipo]],Hoja2!A:A,Hoja2!D:D,"NO SE ENCONTRO",0)</f>
        <v>UPS</v>
      </c>
      <c r="F85" s="77" t="s">
        <v>848</v>
      </c>
      <c r="G85" s="39" t="s">
        <v>790</v>
      </c>
    </row>
    <row r="86" spans="1:13" x14ac:dyDescent="0.3">
      <c r="A86" s="44">
        <v>85</v>
      </c>
      <c r="B86" s="29" t="s">
        <v>113</v>
      </c>
      <c r="C86" s="28" t="s">
        <v>132</v>
      </c>
      <c r="D86" s="28" t="s">
        <v>657</v>
      </c>
      <c r="E86" s="28" t="s">
        <v>770</v>
      </c>
      <c r="F86" s="78" t="s">
        <v>848</v>
      </c>
      <c r="G86" s="28" t="s">
        <v>790</v>
      </c>
    </row>
    <row r="87" spans="1:13" x14ac:dyDescent="0.3">
      <c r="A87" s="44">
        <v>86</v>
      </c>
      <c r="B87" s="29" t="s">
        <v>114</v>
      </c>
      <c r="C87" s="28" t="s">
        <v>132</v>
      </c>
      <c r="D87" s="28" t="s">
        <v>657</v>
      </c>
      <c r="E87" s="28" t="str">
        <f>_xlfn.XLOOKUP(Table1[[#This Row],[ID Equipo]],Hoja2!A:A,Hoja2!D:D,"NO SE ENCONTRO",0)</f>
        <v>UPS</v>
      </c>
      <c r="F87" s="78" t="s">
        <v>848</v>
      </c>
      <c r="G87" s="28" t="s">
        <v>790</v>
      </c>
    </row>
    <row r="88" spans="1:13" x14ac:dyDescent="0.3">
      <c r="A88" s="44">
        <v>87</v>
      </c>
      <c r="B88" s="40" t="s">
        <v>445</v>
      </c>
      <c r="C88" s="39" t="s">
        <v>133</v>
      </c>
      <c r="D88" s="39" t="s">
        <v>652</v>
      </c>
      <c r="E88" s="39" t="str">
        <f>_xlfn.XLOOKUP(Table1[[#This Row],[ID Equipo]],Hoja2!A:A,Hoja2!D:D,"NO SE ENCONTRO",0)</f>
        <v>COMPUTADORA DE ESCRITORIO</v>
      </c>
      <c r="F88" s="77" t="s">
        <v>848</v>
      </c>
      <c r="G88" s="39"/>
    </row>
    <row r="89" spans="1:13" x14ac:dyDescent="0.3">
      <c r="A89" s="44">
        <v>88</v>
      </c>
      <c r="B89" s="40" t="s">
        <v>115</v>
      </c>
      <c r="C89" s="39" t="s">
        <v>133</v>
      </c>
      <c r="D89" s="39" t="s">
        <v>652</v>
      </c>
      <c r="E89" s="39" t="str">
        <f>_xlfn.XLOOKUP(Table1[[#This Row],[ID Equipo]],Hoja2!A:A,Hoja2!D:D,"NO SE ENCONTRO",0)</f>
        <v>IMPRESORA TERMICA</v>
      </c>
      <c r="F89" s="77" t="s">
        <v>848</v>
      </c>
      <c r="G89" s="39"/>
    </row>
    <row r="90" spans="1:13" x14ac:dyDescent="0.3">
      <c r="A90" s="44">
        <v>89</v>
      </c>
      <c r="B90" s="40" t="s">
        <v>116</v>
      </c>
      <c r="C90" s="39" t="s">
        <v>133</v>
      </c>
      <c r="D90" s="39" t="s">
        <v>652</v>
      </c>
      <c r="E90" s="39" t="str">
        <f>_xlfn.XLOOKUP(Table1[[#This Row],[ID Equipo]],Hoja2!A:A,Hoja2!D:D,"NO SE ENCONTRO",0)</f>
        <v>UPS</v>
      </c>
      <c r="F90" s="77" t="s">
        <v>848</v>
      </c>
      <c r="G90" s="39"/>
    </row>
    <row r="91" spans="1:13" x14ac:dyDescent="0.3">
      <c r="A91" s="44">
        <v>90</v>
      </c>
      <c r="B91" s="40" t="s">
        <v>117</v>
      </c>
      <c r="C91" s="39" t="s">
        <v>134</v>
      </c>
      <c r="D91" s="39" t="s">
        <v>652</v>
      </c>
      <c r="E91" s="39" t="str">
        <f>_xlfn.XLOOKUP(Table1[[#This Row],[ID Equipo]],Hoja2!A:A,Hoja2!D:D,"NO SE ENCONTRO",0)</f>
        <v>COMPUTADORA DE ESCRITORIO</v>
      </c>
      <c r="F91" s="77" t="s">
        <v>848</v>
      </c>
      <c r="G91" s="39"/>
    </row>
    <row r="92" spans="1:13" x14ac:dyDescent="0.3">
      <c r="A92" s="44">
        <v>91</v>
      </c>
      <c r="B92" s="40" t="s">
        <v>118</v>
      </c>
      <c r="C92" s="39" t="s">
        <v>134</v>
      </c>
      <c r="D92" s="39" t="s">
        <v>652</v>
      </c>
      <c r="E92" s="39" t="str">
        <f>_xlfn.XLOOKUP(Table1[[#This Row],[ID Equipo]],Hoja2!A:A,Hoja2!D:D,"NO SE ENCONTRO",0)</f>
        <v>UPS</v>
      </c>
      <c r="F92" s="77" t="s">
        <v>848</v>
      </c>
      <c r="G92" s="39"/>
    </row>
    <row r="93" spans="1:13" x14ac:dyDescent="0.3">
      <c r="A93" s="44">
        <v>92</v>
      </c>
      <c r="B93" s="40" t="s">
        <v>125</v>
      </c>
      <c r="C93" s="39" t="s">
        <v>814</v>
      </c>
      <c r="D93" s="39" t="s">
        <v>652</v>
      </c>
      <c r="E93" s="39" t="s">
        <v>770</v>
      </c>
      <c r="F93" s="77" t="s">
        <v>848</v>
      </c>
      <c r="G93" s="39"/>
      <c r="H93" s="1"/>
      <c r="I93" s="48"/>
      <c r="J93" s="1"/>
      <c r="K93" s="1"/>
      <c r="L93" s="1"/>
      <c r="M93" s="1"/>
    </row>
    <row r="94" spans="1:13" x14ac:dyDescent="0.3">
      <c r="A94" s="44">
        <v>93</v>
      </c>
      <c r="B94" s="40" t="s">
        <v>570</v>
      </c>
      <c r="C94" s="39" t="s">
        <v>814</v>
      </c>
      <c r="D94" s="39" t="s">
        <v>652</v>
      </c>
      <c r="E94" s="39" t="s">
        <v>771</v>
      </c>
      <c r="F94" s="77" t="s">
        <v>848</v>
      </c>
      <c r="G94" s="39" t="s">
        <v>826</v>
      </c>
    </row>
    <row r="95" spans="1:13" x14ac:dyDescent="0.3">
      <c r="A95" s="44">
        <v>94</v>
      </c>
      <c r="B95" s="40" t="s">
        <v>126</v>
      </c>
      <c r="C95" s="39" t="s">
        <v>137</v>
      </c>
      <c r="D95" s="39" t="s">
        <v>652</v>
      </c>
      <c r="E95" s="39" t="str">
        <f>_xlfn.XLOOKUP(Table1[[#This Row],[ID Equipo]],Hoja2!A:A,Hoja2!D:D,"NO SE ENCONTRO",0)</f>
        <v>COMPUTADORA DE ESCRITORIO</v>
      </c>
      <c r="F95" s="77" t="s">
        <v>848</v>
      </c>
      <c r="G95" s="39"/>
    </row>
    <row r="96" spans="1:13" x14ac:dyDescent="0.3">
      <c r="A96" s="44">
        <v>95</v>
      </c>
      <c r="B96" s="40" t="s">
        <v>120</v>
      </c>
      <c r="C96" s="39" t="s">
        <v>137</v>
      </c>
      <c r="D96" s="39" t="s">
        <v>652</v>
      </c>
      <c r="E96" s="39" t="s">
        <v>771</v>
      </c>
      <c r="F96" s="77" t="s">
        <v>848</v>
      </c>
      <c r="G96" s="39" t="s">
        <v>813</v>
      </c>
    </row>
    <row r="97" spans="1:7" x14ac:dyDescent="0.3">
      <c r="A97" s="44">
        <v>96</v>
      </c>
      <c r="B97" s="35" t="s">
        <v>119</v>
      </c>
      <c r="C97" s="34" t="s">
        <v>135</v>
      </c>
      <c r="D97" s="34" t="s">
        <v>652</v>
      </c>
      <c r="E97" s="34" t="s">
        <v>770</v>
      </c>
      <c r="F97" s="54" t="s">
        <v>848</v>
      </c>
      <c r="G97" s="34"/>
    </row>
    <row r="98" spans="1:7" x14ac:dyDescent="0.3">
      <c r="A98" s="44">
        <v>97</v>
      </c>
      <c r="B98" s="40" t="s">
        <v>121</v>
      </c>
      <c r="C98" s="39" t="s">
        <v>136</v>
      </c>
      <c r="D98" s="39" t="s">
        <v>652</v>
      </c>
      <c r="E98" s="39" t="s">
        <v>770</v>
      </c>
      <c r="F98" s="77" t="s">
        <v>848</v>
      </c>
      <c r="G98" s="39"/>
    </row>
    <row r="99" spans="1:7" x14ac:dyDescent="0.3">
      <c r="A99" s="44">
        <v>98</v>
      </c>
      <c r="B99" s="40" t="s">
        <v>122</v>
      </c>
      <c r="C99" s="39" t="s">
        <v>136</v>
      </c>
      <c r="D99" s="39" t="s">
        <v>652</v>
      </c>
      <c r="E99" s="39" t="s">
        <v>771</v>
      </c>
      <c r="F99" s="77" t="s">
        <v>848</v>
      </c>
      <c r="G99" s="39"/>
    </row>
    <row r="100" spans="1:7" x14ac:dyDescent="0.3">
      <c r="A100" s="44">
        <v>99</v>
      </c>
      <c r="B100" s="40" t="s">
        <v>123</v>
      </c>
      <c r="C100" s="39" t="s">
        <v>818</v>
      </c>
      <c r="D100" s="39" t="s">
        <v>652</v>
      </c>
      <c r="E100" s="39" t="s">
        <v>770</v>
      </c>
      <c r="F100" s="77" t="s">
        <v>848</v>
      </c>
      <c r="G100" s="39"/>
    </row>
    <row r="101" spans="1:7" x14ac:dyDescent="0.3">
      <c r="A101" s="44">
        <v>100</v>
      </c>
      <c r="B101" s="40" t="s">
        <v>124</v>
      </c>
      <c r="C101" s="39" t="s">
        <v>818</v>
      </c>
      <c r="D101" s="39" t="s">
        <v>652</v>
      </c>
      <c r="E101" s="39" t="s">
        <v>771</v>
      </c>
      <c r="F101" s="77" t="s">
        <v>848</v>
      </c>
      <c r="G101" s="39"/>
    </row>
    <row r="102" spans="1:7" x14ac:dyDescent="0.3">
      <c r="A102" s="44">
        <v>101</v>
      </c>
      <c r="B102" s="35" t="s">
        <v>127</v>
      </c>
      <c r="C102" s="34" t="s">
        <v>138</v>
      </c>
      <c r="D102" s="34" t="s">
        <v>782</v>
      </c>
      <c r="E102" s="34" t="s">
        <v>771</v>
      </c>
      <c r="F102" s="54" t="s">
        <v>848</v>
      </c>
      <c r="G102" s="34"/>
    </row>
    <row r="103" spans="1:7" x14ac:dyDescent="0.3">
      <c r="A103" s="44">
        <v>102</v>
      </c>
      <c r="B103" s="35" t="s">
        <v>128</v>
      </c>
      <c r="C103" s="34" t="s">
        <v>139</v>
      </c>
      <c r="D103" s="34" t="s">
        <v>782</v>
      </c>
      <c r="E103" s="34" t="str">
        <f>_xlfn.XLOOKUP(Table1[[#This Row],[ID Equipo]],Hoja2!A:A,Hoja2!D:D,"NO SE ENCONTRO",0)</f>
        <v>UPS</v>
      </c>
      <c r="F103" s="54" t="s">
        <v>848</v>
      </c>
      <c r="G103" s="34"/>
    </row>
    <row r="104" spans="1:7" x14ac:dyDescent="0.3">
      <c r="A104" s="44">
        <v>103</v>
      </c>
      <c r="B104" s="35" t="s">
        <v>141</v>
      </c>
      <c r="C104" s="34" t="s">
        <v>163</v>
      </c>
      <c r="D104" s="34" t="s">
        <v>782</v>
      </c>
      <c r="E104" s="34" t="str">
        <f>_xlfn.XLOOKUP(Table1[[#This Row],[ID Equipo]],Hoja2!A:A,Hoja2!D:D,"NO SE ENCONTRO",0)</f>
        <v>UPS</v>
      </c>
      <c r="F104" s="54" t="s">
        <v>848</v>
      </c>
      <c r="G104" s="34"/>
    </row>
    <row r="105" spans="1:7" x14ac:dyDescent="0.3">
      <c r="A105" s="44">
        <v>104</v>
      </c>
      <c r="B105" s="35" t="s">
        <v>142</v>
      </c>
      <c r="C105" s="34" t="s">
        <v>164</v>
      </c>
      <c r="D105" s="34" t="s">
        <v>782</v>
      </c>
      <c r="E105" s="34" t="str">
        <f>_xlfn.XLOOKUP(Table1[[#This Row],[ID Equipo]],Hoja2!A:A,Hoja2!D:D,"NO SE ENCONTRO",0)</f>
        <v>UPS</v>
      </c>
      <c r="F105" s="54" t="s">
        <v>848</v>
      </c>
      <c r="G105" s="34"/>
    </row>
    <row r="106" spans="1:7" x14ac:dyDescent="0.3">
      <c r="A106" s="44">
        <v>105</v>
      </c>
      <c r="B106" s="29" t="s">
        <v>143</v>
      </c>
      <c r="C106" s="28" t="s">
        <v>165</v>
      </c>
      <c r="D106" s="28" t="s">
        <v>657</v>
      </c>
      <c r="E106" s="28" t="s">
        <v>770</v>
      </c>
      <c r="F106" s="78" t="s">
        <v>848</v>
      </c>
      <c r="G106" s="28"/>
    </row>
    <row r="107" spans="1:7" x14ac:dyDescent="0.3">
      <c r="A107" s="44">
        <v>106</v>
      </c>
      <c r="B107" s="29" t="s">
        <v>144</v>
      </c>
      <c r="C107" s="28" t="s">
        <v>165</v>
      </c>
      <c r="D107" s="28" t="s">
        <v>657</v>
      </c>
      <c r="E107" s="28" t="str">
        <f>_xlfn.XLOOKUP(Table1[[#This Row],[ID Equipo]],Hoja2!A:A,Hoja2!D:D,"NO SE ENCONTRO",0)</f>
        <v>IMPRESORA TERMICA</v>
      </c>
      <c r="F107" s="78" t="s">
        <v>848</v>
      </c>
      <c r="G107" s="28"/>
    </row>
    <row r="108" spans="1:7" x14ac:dyDescent="0.3">
      <c r="A108" s="44">
        <v>107</v>
      </c>
      <c r="B108" s="29" t="s">
        <v>145</v>
      </c>
      <c r="C108" s="28" t="s">
        <v>165</v>
      </c>
      <c r="D108" s="28" t="s">
        <v>657</v>
      </c>
      <c r="E108" s="28" t="str">
        <f>_xlfn.XLOOKUP(Table1[[#This Row],[ID Equipo]],Hoja2!A:A,Hoja2!D:D,"NO SE ENCONTRO",0)</f>
        <v>UPS</v>
      </c>
      <c r="F108" s="78" t="s">
        <v>848</v>
      </c>
      <c r="G108" s="28"/>
    </row>
    <row r="109" spans="1:7" x14ac:dyDescent="0.3">
      <c r="A109" s="44">
        <v>108</v>
      </c>
      <c r="B109" s="35" t="s">
        <v>146</v>
      </c>
      <c r="C109" s="34" t="s">
        <v>648</v>
      </c>
      <c r="D109" s="34" t="s">
        <v>782</v>
      </c>
      <c r="E109" s="34" t="str">
        <f>_xlfn.XLOOKUP(Table1[[#This Row],[ID Equipo]],Hoja2!A:A,Hoja2!D:D,"NO SE ENCONTRO",0)</f>
        <v>UPS</v>
      </c>
      <c r="F109" s="54" t="s">
        <v>848</v>
      </c>
      <c r="G109" s="34"/>
    </row>
    <row r="110" spans="1:7" x14ac:dyDescent="0.3">
      <c r="A110" s="44">
        <v>109</v>
      </c>
      <c r="B110" s="35" t="s">
        <v>167</v>
      </c>
      <c r="C110" s="34" t="s">
        <v>168</v>
      </c>
      <c r="D110" s="34" t="s">
        <v>782</v>
      </c>
      <c r="E110" s="34" t="str">
        <f>_xlfn.XLOOKUP(Table1[[#This Row],[ID Equipo]],Hoja2!A:A,Hoja2!D:D,"NO SE ENCONTRO",0)</f>
        <v>UPS</v>
      </c>
      <c r="F110" s="54" t="s">
        <v>848</v>
      </c>
      <c r="G110" s="34"/>
    </row>
    <row r="111" spans="1:7" x14ac:dyDescent="0.3">
      <c r="A111" s="44">
        <v>110</v>
      </c>
      <c r="B111" s="35" t="s">
        <v>147</v>
      </c>
      <c r="C111" s="34" t="s">
        <v>166</v>
      </c>
      <c r="D111" s="34" t="s">
        <v>782</v>
      </c>
      <c r="E111" s="34" t="str">
        <f>_xlfn.XLOOKUP(Table1[[#This Row],[ID Equipo]],Hoja2!A:A,Hoja2!D:D,"NO SE ENCONTRO",0)</f>
        <v>UPS</v>
      </c>
      <c r="F111" s="54" t="s">
        <v>848</v>
      </c>
      <c r="G111" s="34"/>
    </row>
    <row r="112" spans="1:7" x14ac:dyDescent="0.3">
      <c r="A112" s="44">
        <v>111</v>
      </c>
      <c r="B112" s="29" t="s">
        <v>148</v>
      </c>
      <c r="C112" s="28" t="s">
        <v>169</v>
      </c>
      <c r="D112" s="28" t="s">
        <v>657</v>
      </c>
      <c r="E112" s="28" t="str">
        <f>_xlfn.XLOOKUP(Table1[[#This Row],[ID Equipo]],Hoja2!A:A,Hoja2!D:D,"NO SE ENCONTRO",0)</f>
        <v>COMPUTADORA DE ESCRITORIO</v>
      </c>
      <c r="F112" s="78" t="s">
        <v>848</v>
      </c>
      <c r="G112" s="28"/>
    </row>
    <row r="113" spans="1:7" x14ac:dyDescent="0.3">
      <c r="A113" s="44">
        <v>112</v>
      </c>
      <c r="B113" s="29" t="s">
        <v>149</v>
      </c>
      <c r="C113" s="28" t="s">
        <v>169</v>
      </c>
      <c r="D113" s="28" t="s">
        <v>657</v>
      </c>
      <c r="E113" s="28" t="str">
        <f>_xlfn.XLOOKUP(Table1[[#This Row],[ID Equipo]],Hoja2!A:A,Hoja2!D:D,"NO SE ENCONTRO",0)</f>
        <v>IMPRESORA TERMICA</v>
      </c>
      <c r="F113" s="78" t="s">
        <v>848</v>
      </c>
      <c r="G113" s="28"/>
    </row>
    <row r="114" spans="1:7" x14ac:dyDescent="0.3">
      <c r="A114" s="44">
        <v>113</v>
      </c>
      <c r="B114" s="29" t="s">
        <v>150</v>
      </c>
      <c r="C114" s="28" t="s">
        <v>169</v>
      </c>
      <c r="D114" s="28" t="s">
        <v>657</v>
      </c>
      <c r="E114" s="28" t="str">
        <f>_xlfn.XLOOKUP(Table1[[#This Row],[ID Equipo]],Hoja2!A:A,Hoja2!D:D,"NO SE ENCONTRO",0)</f>
        <v>UPS</v>
      </c>
      <c r="F114" s="78" t="s">
        <v>848</v>
      </c>
      <c r="G114" s="28"/>
    </row>
    <row r="115" spans="1:7" x14ac:dyDescent="0.3">
      <c r="A115" s="44">
        <v>114</v>
      </c>
      <c r="B115" s="45" t="s">
        <v>151</v>
      </c>
      <c r="C115" s="44" t="s">
        <v>170</v>
      </c>
      <c r="D115" s="44" t="s">
        <v>651</v>
      </c>
      <c r="E115" s="44" t="str">
        <f>_xlfn.XLOOKUP(Table1[[#This Row],[ID Equipo]],Hoja2!A:A,Hoja2!D:D,"NO SE ENCONTRO",0)</f>
        <v>COMPUTADORA DE ESCRITORIO</v>
      </c>
      <c r="F115" s="76" t="s">
        <v>848</v>
      </c>
      <c r="G115" s="44" t="s">
        <v>822</v>
      </c>
    </row>
    <row r="116" spans="1:7" x14ac:dyDescent="0.3">
      <c r="A116" s="44">
        <v>115</v>
      </c>
      <c r="B116" s="45" t="s">
        <v>152</v>
      </c>
      <c r="C116" s="44" t="s">
        <v>170</v>
      </c>
      <c r="D116" s="44" t="s">
        <v>651</v>
      </c>
      <c r="E116" s="44" t="str">
        <f>_xlfn.XLOOKUP(Table1[[#This Row],[ID Equipo]],Hoja2!A:A,Hoja2!D:D,"NO SE ENCONTRO",0)</f>
        <v>UPS</v>
      </c>
      <c r="F116" s="76" t="s">
        <v>848</v>
      </c>
      <c r="G116" s="44" t="s">
        <v>822</v>
      </c>
    </row>
    <row r="117" spans="1:7" x14ac:dyDescent="0.3">
      <c r="A117" s="44">
        <v>116</v>
      </c>
      <c r="B117" s="29" t="s">
        <v>153</v>
      </c>
      <c r="C117" s="28" t="s">
        <v>171</v>
      </c>
      <c r="D117" s="28" t="s">
        <v>657</v>
      </c>
      <c r="E117" s="28" t="str">
        <f>_xlfn.XLOOKUP(Table1[[#This Row],[ID Equipo]],Hoja2!A:A,Hoja2!D:D,"NO SE ENCONTRO",0)</f>
        <v>COMPUTADORA DE ESCRITORIO</v>
      </c>
      <c r="F117" s="78" t="s">
        <v>848</v>
      </c>
      <c r="G117" s="28" t="s">
        <v>790</v>
      </c>
    </row>
    <row r="118" spans="1:7" x14ac:dyDescent="0.3">
      <c r="A118" s="44">
        <v>117</v>
      </c>
      <c r="B118" s="29" t="s">
        <v>154</v>
      </c>
      <c r="C118" s="28" t="s">
        <v>171</v>
      </c>
      <c r="D118" s="28" t="s">
        <v>657</v>
      </c>
      <c r="E118" s="28" t="str">
        <f>_xlfn.XLOOKUP(Table1[[#This Row],[ID Equipo]],Hoja2!A:A,Hoja2!D:D,"NO SE ENCONTRO",0)</f>
        <v>UPS</v>
      </c>
      <c r="F118" s="78" t="s">
        <v>848</v>
      </c>
      <c r="G118" s="28" t="s">
        <v>790</v>
      </c>
    </row>
    <row r="119" spans="1:7" x14ac:dyDescent="0.3">
      <c r="A119" s="44">
        <v>118</v>
      </c>
      <c r="B119" s="29" t="s">
        <v>155</v>
      </c>
      <c r="C119" s="28" t="s">
        <v>172</v>
      </c>
      <c r="D119" s="28" t="s">
        <v>657</v>
      </c>
      <c r="E119" s="28" t="str">
        <f>_xlfn.XLOOKUP(Table1[[#This Row],[ID Equipo]],Hoja2!A:A,Hoja2!D:D,"NO SE ENCONTRO",0)</f>
        <v>COMPUTADORA DE ESCRITORIO</v>
      </c>
      <c r="F119" s="78" t="s">
        <v>848</v>
      </c>
      <c r="G119" s="28"/>
    </row>
    <row r="120" spans="1:7" x14ac:dyDescent="0.3">
      <c r="A120" s="44">
        <v>119</v>
      </c>
      <c r="B120" s="29" t="s">
        <v>156</v>
      </c>
      <c r="C120" s="28" t="s">
        <v>172</v>
      </c>
      <c r="D120" s="28" t="s">
        <v>657</v>
      </c>
      <c r="E120" s="28" t="str">
        <f>_xlfn.XLOOKUP(Table1[[#This Row],[ID Equipo]],Hoja2!A:A,Hoja2!D:D,"NO SE ENCONTRO",0)</f>
        <v>IMPRESORA TERMICA</v>
      </c>
      <c r="F120" s="78" t="s">
        <v>848</v>
      </c>
      <c r="G120" s="28"/>
    </row>
    <row r="121" spans="1:7" x14ac:dyDescent="0.3">
      <c r="A121" s="44">
        <v>120</v>
      </c>
      <c r="B121" s="29" t="s">
        <v>157</v>
      </c>
      <c r="C121" s="28" t="s">
        <v>172</v>
      </c>
      <c r="D121" s="28" t="s">
        <v>657</v>
      </c>
      <c r="E121" s="28" t="str">
        <f>_xlfn.XLOOKUP(Table1[[#This Row],[ID Equipo]],Hoja2!A:A,Hoja2!D:D,"NO SE ENCONTRO",0)</f>
        <v>UPS</v>
      </c>
      <c r="F121" s="78" t="s">
        <v>848</v>
      </c>
      <c r="G121" s="28"/>
    </row>
    <row r="122" spans="1:7" x14ac:dyDescent="0.3">
      <c r="A122" s="44">
        <v>121</v>
      </c>
      <c r="B122" s="35" t="s">
        <v>175</v>
      </c>
      <c r="C122" s="34" t="s">
        <v>176</v>
      </c>
      <c r="D122" s="34" t="s">
        <v>782</v>
      </c>
      <c r="E122" s="34" t="str">
        <f>_xlfn.XLOOKUP(Table1[[#This Row],[ID Equipo]],Hoja2!A:A,Hoja2!D:D,"NO SE ENCONTRO",0)</f>
        <v>UPS</v>
      </c>
      <c r="F122" s="54" t="s">
        <v>848</v>
      </c>
      <c r="G122" s="34"/>
    </row>
    <row r="123" spans="1:7" x14ac:dyDescent="0.3">
      <c r="A123" s="44">
        <v>122</v>
      </c>
      <c r="B123" s="29" t="s">
        <v>158</v>
      </c>
      <c r="C123" s="28" t="s">
        <v>173</v>
      </c>
      <c r="D123" s="28" t="s">
        <v>657</v>
      </c>
      <c r="E123" s="28" t="str">
        <f>_xlfn.XLOOKUP(Table1[[#This Row],[ID Equipo]],Hoja2!A:A,Hoja2!D:D,"NO SE ENCONTRO",0)</f>
        <v>COMPUTADORA DE ESCRITORIO</v>
      </c>
      <c r="F123" s="78" t="s">
        <v>848</v>
      </c>
      <c r="G123" s="28" t="s">
        <v>790</v>
      </c>
    </row>
    <row r="124" spans="1:7" x14ac:dyDescent="0.3">
      <c r="A124" s="44">
        <v>123</v>
      </c>
      <c r="B124" s="29" t="s">
        <v>159</v>
      </c>
      <c r="C124" s="28" t="s">
        <v>173</v>
      </c>
      <c r="D124" s="28" t="s">
        <v>657</v>
      </c>
      <c r="E124" s="28" t="str">
        <f>_xlfn.XLOOKUP(Table1[[#This Row],[ID Equipo]],Hoja2!A:A,Hoja2!D:D,"NO SE ENCONTRO",0)</f>
        <v>UPS</v>
      </c>
      <c r="F124" s="78" t="s">
        <v>848</v>
      </c>
      <c r="G124" s="28" t="s">
        <v>790</v>
      </c>
    </row>
    <row r="125" spans="1:7" x14ac:dyDescent="0.3">
      <c r="A125" s="44">
        <v>124</v>
      </c>
      <c r="B125" s="35" t="s">
        <v>177</v>
      </c>
      <c r="C125" s="34" t="s">
        <v>178</v>
      </c>
      <c r="D125" s="34" t="s">
        <v>782</v>
      </c>
      <c r="E125" s="34" t="str">
        <f>_xlfn.XLOOKUP(Table1[[#This Row],[ID Equipo]],Hoja2!A:A,Hoja2!D:D,"NO SE ENCONTRO",0)</f>
        <v>UPS</v>
      </c>
      <c r="F125" s="54" t="s">
        <v>848</v>
      </c>
      <c r="G125" s="34"/>
    </row>
    <row r="126" spans="1:7" x14ac:dyDescent="0.3">
      <c r="A126" s="44">
        <v>125</v>
      </c>
      <c r="B126" s="29" t="s">
        <v>160</v>
      </c>
      <c r="C126" s="28" t="s">
        <v>174</v>
      </c>
      <c r="D126" s="28" t="s">
        <v>657</v>
      </c>
      <c r="E126" s="28" t="s">
        <v>770</v>
      </c>
      <c r="F126" s="78" t="s">
        <v>848</v>
      </c>
      <c r="G126" s="28"/>
    </row>
    <row r="127" spans="1:7" x14ac:dyDescent="0.3">
      <c r="A127" s="44">
        <v>126</v>
      </c>
      <c r="B127" s="29" t="s">
        <v>161</v>
      </c>
      <c r="C127" s="28" t="s">
        <v>174</v>
      </c>
      <c r="D127" s="28" t="s">
        <v>657</v>
      </c>
      <c r="E127" s="28" t="str">
        <f>_xlfn.XLOOKUP(Table1[[#This Row],[ID Equipo]],Hoja2!A:A,Hoja2!D:D,"NO SE ENCONTRO",0)</f>
        <v>IMPRESORA TERMICA</v>
      </c>
      <c r="F127" s="78" t="s">
        <v>848</v>
      </c>
      <c r="G127" s="28"/>
    </row>
    <row r="128" spans="1:7" x14ac:dyDescent="0.3">
      <c r="A128" s="44">
        <v>127</v>
      </c>
      <c r="B128" s="29" t="s">
        <v>162</v>
      </c>
      <c r="C128" s="28" t="s">
        <v>174</v>
      </c>
      <c r="D128" s="28" t="s">
        <v>657</v>
      </c>
      <c r="E128" s="28" t="str">
        <f>_xlfn.XLOOKUP(Table1[[#This Row],[ID Equipo]],Hoja2!A:A,Hoja2!D:D,"NO SE ENCONTRO",0)</f>
        <v>UPS</v>
      </c>
      <c r="F128" s="78" t="s">
        <v>848</v>
      </c>
      <c r="G128" s="28"/>
    </row>
    <row r="129" spans="1:7" x14ac:dyDescent="0.3">
      <c r="A129" s="44">
        <v>128</v>
      </c>
      <c r="B129" s="29" t="s">
        <v>179</v>
      </c>
      <c r="C129" s="28" t="s">
        <v>180</v>
      </c>
      <c r="D129" s="28" t="s">
        <v>657</v>
      </c>
      <c r="E129" s="28" t="s">
        <v>770</v>
      </c>
      <c r="F129" s="78" t="s">
        <v>848</v>
      </c>
      <c r="G129" s="28"/>
    </row>
    <row r="130" spans="1:7" x14ac:dyDescent="0.3">
      <c r="A130" s="44">
        <v>129</v>
      </c>
      <c r="B130" s="29" t="s">
        <v>140</v>
      </c>
      <c r="C130" s="28" t="s">
        <v>180</v>
      </c>
      <c r="D130" s="28" t="s">
        <v>657</v>
      </c>
      <c r="E130" s="28" t="s">
        <v>772</v>
      </c>
      <c r="F130" s="78" t="s">
        <v>848</v>
      </c>
      <c r="G130" s="28"/>
    </row>
    <row r="131" spans="1:7" x14ac:dyDescent="0.3">
      <c r="A131" s="44">
        <v>130</v>
      </c>
      <c r="B131" s="29" t="s">
        <v>181</v>
      </c>
      <c r="C131" s="28" t="s">
        <v>180</v>
      </c>
      <c r="D131" s="28" t="s">
        <v>657</v>
      </c>
      <c r="E131" s="28" t="s">
        <v>771</v>
      </c>
      <c r="F131" s="78" t="s">
        <v>848</v>
      </c>
      <c r="G131" s="28"/>
    </row>
    <row r="132" spans="1:7" x14ac:dyDescent="0.3">
      <c r="A132" s="44">
        <v>131</v>
      </c>
      <c r="B132" s="29" t="s">
        <v>182</v>
      </c>
      <c r="C132" s="28" t="s">
        <v>183</v>
      </c>
      <c r="D132" s="28" t="s">
        <v>657</v>
      </c>
      <c r="E132" s="28" t="str">
        <f>_xlfn.XLOOKUP(Table1[[#This Row],[ID Equipo]],Hoja2!A:A,Hoja2!D:D,"NO SE ENCONTRO",0)</f>
        <v>COMPUTADORA DE ESCRITORIO</v>
      </c>
      <c r="F132" s="78" t="s">
        <v>848</v>
      </c>
      <c r="G132" s="28"/>
    </row>
    <row r="133" spans="1:7" x14ac:dyDescent="0.3">
      <c r="A133" s="44">
        <v>132</v>
      </c>
      <c r="B133" s="29" t="s">
        <v>184</v>
      </c>
      <c r="C133" s="28" t="s">
        <v>183</v>
      </c>
      <c r="D133" s="28" t="s">
        <v>657</v>
      </c>
      <c r="E133" s="28" t="str">
        <f>_xlfn.XLOOKUP(Table1[[#This Row],[ID Equipo]],Hoja2!A:A,Hoja2!D:D,"NO SE ENCONTRO",0)</f>
        <v>IMPRESORA TERMICA</v>
      </c>
      <c r="F133" s="78" t="s">
        <v>848</v>
      </c>
      <c r="G133" s="28"/>
    </row>
    <row r="134" spans="1:7" x14ac:dyDescent="0.3">
      <c r="A134" s="44">
        <v>133</v>
      </c>
      <c r="B134" s="29" t="s">
        <v>185</v>
      </c>
      <c r="C134" s="28" t="s">
        <v>183</v>
      </c>
      <c r="D134" s="28" t="s">
        <v>657</v>
      </c>
      <c r="E134" s="28" t="str">
        <f>_xlfn.XLOOKUP(Table1[[#This Row],[ID Equipo]],Hoja2!A:A,Hoja2!D:D,"NO SE ENCONTRO",0)</f>
        <v>UPS</v>
      </c>
      <c r="F134" s="78" t="s">
        <v>848</v>
      </c>
      <c r="G134" s="28"/>
    </row>
    <row r="135" spans="1:7" x14ac:dyDescent="0.3">
      <c r="A135" s="44">
        <v>134</v>
      </c>
      <c r="B135" s="29" t="s">
        <v>186</v>
      </c>
      <c r="C135" s="28" t="s">
        <v>187</v>
      </c>
      <c r="D135" s="28" t="s">
        <v>657</v>
      </c>
      <c r="E135" s="28" t="str">
        <f>_xlfn.XLOOKUP(Table1[[#This Row],[ID Equipo]],Hoja2!A:A,Hoja2!D:D,"NO SE ENCONTRO",0)</f>
        <v>COMPUTADORA DE ESCRITORIO</v>
      </c>
      <c r="F135" s="78" t="s">
        <v>848</v>
      </c>
      <c r="G135" s="28"/>
    </row>
    <row r="136" spans="1:7" x14ac:dyDescent="0.3">
      <c r="A136" s="44">
        <v>135</v>
      </c>
      <c r="B136" s="29" t="s">
        <v>188</v>
      </c>
      <c r="C136" s="28" t="s">
        <v>187</v>
      </c>
      <c r="D136" s="28" t="s">
        <v>657</v>
      </c>
      <c r="E136" s="28" t="str">
        <f>_xlfn.XLOOKUP(Table1[[#This Row],[ID Equipo]],Hoja2!A:A,Hoja2!D:D,"NO SE ENCONTRO",0)</f>
        <v>IMPRESORA TERMICA</v>
      </c>
      <c r="F136" s="78" t="s">
        <v>848</v>
      </c>
      <c r="G136" s="28"/>
    </row>
    <row r="137" spans="1:7" x14ac:dyDescent="0.3">
      <c r="A137" s="44">
        <v>136</v>
      </c>
      <c r="B137" s="29" t="s">
        <v>189</v>
      </c>
      <c r="C137" s="28" t="s">
        <v>187</v>
      </c>
      <c r="D137" s="28" t="s">
        <v>657</v>
      </c>
      <c r="E137" s="28" t="str">
        <f>_xlfn.XLOOKUP(Table1[[#This Row],[ID Equipo]],Hoja2!A:A,Hoja2!D:D,"NO SE ENCONTRO",0)</f>
        <v>UPS</v>
      </c>
      <c r="F137" s="78" t="s">
        <v>848</v>
      </c>
      <c r="G137" s="28"/>
    </row>
    <row r="138" spans="1:7" x14ac:dyDescent="0.3">
      <c r="A138" s="44">
        <v>137</v>
      </c>
      <c r="B138" s="29" t="s">
        <v>190</v>
      </c>
      <c r="C138" s="28" t="s">
        <v>191</v>
      </c>
      <c r="D138" s="28" t="s">
        <v>657</v>
      </c>
      <c r="E138" s="28" t="s">
        <v>770</v>
      </c>
      <c r="F138" s="78" t="s">
        <v>848</v>
      </c>
      <c r="G138" s="28"/>
    </row>
    <row r="139" spans="1:7" x14ac:dyDescent="0.3">
      <c r="A139" s="44">
        <v>138</v>
      </c>
      <c r="B139" s="29" t="s">
        <v>192</v>
      </c>
      <c r="C139" s="28" t="s">
        <v>191</v>
      </c>
      <c r="D139" s="28" t="s">
        <v>657</v>
      </c>
      <c r="E139" s="28" t="str">
        <f>_xlfn.XLOOKUP(Table1[[#This Row],[ID Equipo]],Hoja2!A:A,Hoja2!D:D,"NO SE ENCONTRO",0)</f>
        <v>IMPRESORA TERMICA</v>
      </c>
      <c r="F139" s="78" t="s">
        <v>848</v>
      </c>
      <c r="G139" s="28"/>
    </row>
    <row r="140" spans="1:7" x14ac:dyDescent="0.3">
      <c r="A140" s="44">
        <v>139</v>
      </c>
      <c r="B140" s="29" t="s">
        <v>193</v>
      </c>
      <c r="C140" s="28" t="s">
        <v>191</v>
      </c>
      <c r="D140" s="28" t="s">
        <v>657</v>
      </c>
      <c r="E140" s="28" t="str">
        <f>_xlfn.XLOOKUP(Table1[[#This Row],[ID Equipo]],Hoja2!A:A,Hoja2!D:D,"NO SE ENCONTRO",0)</f>
        <v>UPS</v>
      </c>
      <c r="F140" s="78" t="s">
        <v>848</v>
      </c>
      <c r="G140" s="28"/>
    </row>
    <row r="141" spans="1:7" x14ac:dyDescent="0.3">
      <c r="A141" s="44">
        <v>140</v>
      </c>
      <c r="B141" s="29" t="s">
        <v>195</v>
      </c>
      <c r="C141" s="28" t="s">
        <v>194</v>
      </c>
      <c r="D141" s="28" t="s">
        <v>657</v>
      </c>
      <c r="E141" s="28" t="str">
        <f>_xlfn.XLOOKUP(Table1[[#This Row],[ID Equipo]],Hoja2!A:A,Hoja2!D:D,"NO SE ENCONTRO",0)</f>
        <v>COMPUTADORA DE ESCRITORIO</v>
      </c>
      <c r="F141" s="78" t="s">
        <v>848</v>
      </c>
      <c r="G141" s="28"/>
    </row>
    <row r="142" spans="1:7" x14ac:dyDescent="0.3">
      <c r="A142" s="44">
        <v>141</v>
      </c>
      <c r="B142" s="29" t="s">
        <v>196</v>
      </c>
      <c r="C142" s="28" t="s">
        <v>194</v>
      </c>
      <c r="D142" s="28" t="s">
        <v>657</v>
      </c>
      <c r="E142" s="28" t="str">
        <f>_xlfn.XLOOKUP(Table1[[#This Row],[ID Equipo]],Hoja2!A:A,Hoja2!D:D,"NO SE ENCONTRO",0)</f>
        <v>IMPRESORA TERMICA</v>
      </c>
      <c r="F142" s="78" t="s">
        <v>848</v>
      </c>
      <c r="G142" s="28"/>
    </row>
    <row r="143" spans="1:7" x14ac:dyDescent="0.3">
      <c r="A143" s="44">
        <v>142</v>
      </c>
      <c r="B143" s="29" t="s">
        <v>197</v>
      </c>
      <c r="C143" s="28" t="s">
        <v>194</v>
      </c>
      <c r="D143" s="28" t="s">
        <v>657</v>
      </c>
      <c r="E143" s="28" t="str">
        <f>_xlfn.XLOOKUP(Table1[[#This Row],[ID Equipo]],Hoja2!A:A,Hoja2!D:D,"NO SE ENCONTRO",0)</f>
        <v>UPS</v>
      </c>
      <c r="F143" s="78" t="s">
        <v>848</v>
      </c>
      <c r="G143" s="28"/>
    </row>
    <row r="144" spans="1:7" x14ac:dyDescent="0.3">
      <c r="A144" s="44">
        <v>143</v>
      </c>
      <c r="B144" s="29" t="s">
        <v>199</v>
      </c>
      <c r="C144" s="28" t="s">
        <v>198</v>
      </c>
      <c r="D144" s="28" t="s">
        <v>657</v>
      </c>
      <c r="E144" s="28" t="s">
        <v>770</v>
      </c>
      <c r="F144" s="78" t="s">
        <v>848</v>
      </c>
      <c r="G144" s="28"/>
    </row>
    <row r="145" spans="1:7" x14ac:dyDescent="0.3">
      <c r="A145" s="44">
        <v>144</v>
      </c>
      <c r="B145" s="29" t="s">
        <v>200</v>
      </c>
      <c r="C145" s="28" t="s">
        <v>198</v>
      </c>
      <c r="D145" s="28" t="s">
        <v>657</v>
      </c>
      <c r="E145" s="28" t="str">
        <f>_xlfn.XLOOKUP(Table1[[#This Row],[ID Equipo]],Hoja2!A:A,Hoja2!D:D,"NO SE ENCONTRO",0)</f>
        <v>IMPRESORA TERMICA</v>
      </c>
      <c r="F145" s="78" t="s">
        <v>848</v>
      </c>
      <c r="G145" s="28"/>
    </row>
    <row r="146" spans="1:7" x14ac:dyDescent="0.3">
      <c r="A146" s="44">
        <v>145</v>
      </c>
      <c r="B146" s="29" t="s">
        <v>201</v>
      </c>
      <c r="C146" s="28" t="s">
        <v>198</v>
      </c>
      <c r="D146" s="28" t="s">
        <v>657</v>
      </c>
      <c r="E146" s="28" t="str">
        <f>_xlfn.XLOOKUP(Table1[[#This Row],[ID Equipo]],Hoja2!A:A,Hoja2!D:D,"NO SE ENCONTRO",0)</f>
        <v>UPS</v>
      </c>
      <c r="F146" s="78" t="s">
        <v>848</v>
      </c>
      <c r="G146" s="28"/>
    </row>
    <row r="147" spans="1:7" x14ac:dyDescent="0.3">
      <c r="A147" s="44">
        <v>146</v>
      </c>
      <c r="B147" s="29" t="s">
        <v>203</v>
      </c>
      <c r="C147" s="28" t="s">
        <v>202</v>
      </c>
      <c r="D147" s="28" t="s">
        <v>657</v>
      </c>
      <c r="E147" s="28" t="str">
        <f>_xlfn.XLOOKUP(Table1[[#This Row],[ID Equipo]],Hoja2!A:A,Hoja2!D:D,"NO SE ENCONTRO",0)</f>
        <v>COMPUTADORA DE ESCRITORIO</v>
      </c>
      <c r="F147" s="78" t="s">
        <v>848</v>
      </c>
      <c r="G147" s="28"/>
    </row>
    <row r="148" spans="1:7" x14ac:dyDescent="0.3">
      <c r="A148" s="44">
        <v>147</v>
      </c>
      <c r="B148" s="29" t="s">
        <v>204</v>
      </c>
      <c r="C148" s="28" t="s">
        <v>202</v>
      </c>
      <c r="D148" s="28" t="s">
        <v>657</v>
      </c>
      <c r="E148" s="28" t="str">
        <f>_xlfn.XLOOKUP(Table1[[#This Row],[ID Equipo]],Hoja2!A:A,Hoja2!D:D,"NO SE ENCONTRO",0)</f>
        <v>IMPRESORA TERMICA</v>
      </c>
      <c r="F148" s="78" t="s">
        <v>848</v>
      </c>
      <c r="G148" s="28"/>
    </row>
    <row r="149" spans="1:7" x14ac:dyDescent="0.3">
      <c r="A149" s="44">
        <v>148</v>
      </c>
      <c r="B149" s="29" t="s">
        <v>205</v>
      </c>
      <c r="C149" s="28" t="s">
        <v>202</v>
      </c>
      <c r="D149" s="28" t="s">
        <v>657</v>
      </c>
      <c r="E149" s="28" t="str">
        <f>_xlfn.XLOOKUP(Table1[[#This Row],[ID Equipo]],Hoja2!A:A,Hoja2!D:D,"NO SE ENCONTRO",0)</f>
        <v>UPS</v>
      </c>
      <c r="F149" s="78" t="s">
        <v>848</v>
      </c>
      <c r="G149" s="28"/>
    </row>
    <row r="150" spans="1:7" x14ac:dyDescent="0.3">
      <c r="A150" s="44">
        <v>149</v>
      </c>
      <c r="B150" s="29" t="s">
        <v>207</v>
      </c>
      <c r="C150" s="28" t="s">
        <v>206</v>
      </c>
      <c r="D150" s="28" t="s">
        <v>657</v>
      </c>
      <c r="E150" s="28" t="str">
        <f>_xlfn.XLOOKUP(Table1[[#This Row],[ID Equipo]],Hoja2!A:A,Hoja2!D:D,"NO SE ENCONTRO",0)</f>
        <v>COMPUTADORA DE ESCRITORIO</v>
      </c>
      <c r="F150" s="78" t="s">
        <v>848</v>
      </c>
      <c r="G150" s="28"/>
    </row>
    <row r="151" spans="1:7" x14ac:dyDescent="0.3">
      <c r="A151" s="44">
        <v>150</v>
      </c>
      <c r="B151" s="29" t="s">
        <v>208</v>
      </c>
      <c r="C151" s="28" t="s">
        <v>206</v>
      </c>
      <c r="D151" s="28" t="s">
        <v>657</v>
      </c>
      <c r="E151" s="28" t="str">
        <f>_xlfn.XLOOKUP(Table1[[#This Row],[ID Equipo]],Hoja2!A:A,Hoja2!D:D,"NO SE ENCONTRO",0)</f>
        <v>IMPRESORA TERMICA</v>
      </c>
      <c r="F151" s="78" t="s">
        <v>848</v>
      </c>
      <c r="G151" s="28"/>
    </row>
    <row r="152" spans="1:7" x14ac:dyDescent="0.3">
      <c r="A152" s="44">
        <v>151</v>
      </c>
      <c r="B152" s="29" t="s">
        <v>209</v>
      </c>
      <c r="C152" s="28" t="s">
        <v>206</v>
      </c>
      <c r="D152" s="28" t="s">
        <v>657</v>
      </c>
      <c r="E152" s="28" t="str">
        <f>_xlfn.XLOOKUP(Table1[[#This Row],[ID Equipo]],Hoja2!A:A,Hoja2!D:D,"NO SE ENCONTRO",0)</f>
        <v>UPS</v>
      </c>
      <c r="F152" s="78" t="s">
        <v>848</v>
      </c>
      <c r="G152" s="28"/>
    </row>
    <row r="153" spans="1:7" x14ac:dyDescent="0.3">
      <c r="A153" s="44">
        <v>152</v>
      </c>
      <c r="B153" s="35" t="s">
        <v>211</v>
      </c>
      <c r="C153" s="34" t="s">
        <v>210</v>
      </c>
      <c r="D153" s="34" t="s">
        <v>782</v>
      </c>
      <c r="E153" s="34" t="str">
        <f>_xlfn.XLOOKUP(Table1[[#This Row],[ID Equipo]],Hoja2!A:A,Hoja2!D:D,"NO SE ENCONTRO",0)</f>
        <v>UPS</v>
      </c>
      <c r="F153" s="54" t="s">
        <v>848</v>
      </c>
      <c r="G153" s="34"/>
    </row>
    <row r="154" spans="1:7" x14ac:dyDescent="0.3">
      <c r="A154" s="44">
        <v>153</v>
      </c>
      <c r="B154" s="29" t="s">
        <v>213</v>
      </c>
      <c r="C154" s="28" t="s">
        <v>212</v>
      </c>
      <c r="D154" s="28" t="s">
        <v>657</v>
      </c>
      <c r="E154" s="28" t="str">
        <f>_xlfn.XLOOKUP(Table1[[#This Row],[ID Equipo]],Hoja2!A:A,Hoja2!D:D,"NO SE ENCONTRO",0)</f>
        <v>COMPUTADORA DE ESCRITORIO</v>
      </c>
      <c r="F154" s="78" t="s">
        <v>848</v>
      </c>
      <c r="G154" s="28"/>
    </row>
    <row r="155" spans="1:7" x14ac:dyDescent="0.3">
      <c r="A155" s="44">
        <v>154</v>
      </c>
      <c r="B155" s="29" t="s">
        <v>214</v>
      </c>
      <c r="C155" s="28" t="s">
        <v>212</v>
      </c>
      <c r="D155" s="28" t="s">
        <v>657</v>
      </c>
      <c r="E155" s="28" t="s">
        <v>772</v>
      </c>
      <c r="F155" s="78" t="s">
        <v>848</v>
      </c>
      <c r="G155" s="28"/>
    </row>
    <row r="156" spans="1:7" x14ac:dyDescent="0.3">
      <c r="A156" s="44">
        <v>155</v>
      </c>
      <c r="B156" s="29" t="s">
        <v>215</v>
      </c>
      <c r="C156" s="28" t="s">
        <v>212</v>
      </c>
      <c r="D156" s="28" t="s">
        <v>657</v>
      </c>
      <c r="E156" s="28" t="str">
        <f>_xlfn.XLOOKUP(Table1[[#This Row],[ID Equipo]],Hoja2!A:A,Hoja2!D:D,"NO SE ENCONTRO",0)</f>
        <v>UPS</v>
      </c>
      <c r="F156" s="78" t="s">
        <v>848</v>
      </c>
      <c r="G156" s="28"/>
    </row>
    <row r="157" spans="1:7" x14ac:dyDescent="0.3">
      <c r="A157" s="44">
        <v>156</v>
      </c>
      <c r="B157" s="29" t="s">
        <v>221</v>
      </c>
      <c r="C157" s="28" t="s">
        <v>220</v>
      </c>
      <c r="D157" s="28" t="s">
        <v>657</v>
      </c>
      <c r="E157" s="28" t="str">
        <f>_xlfn.XLOOKUP(Table1[[#This Row],[ID Equipo]],Hoja2!A:A,Hoja2!D:D,"NO SE ENCONTRO",0)</f>
        <v>COMPUTADORA DE ESCRITORIO</v>
      </c>
      <c r="F157" s="78" t="s">
        <v>848</v>
      </c>
      <c r="G157" s="28" t="s">
        <v>789</v>
      </c>
    </row>
    <row r="158" spans="1:7" x14ac:dyDescent="0.3">
      <c r="A158" s="44">
        <v>157</v>
      </c>
      <c r="B158" s="29" t="s">
        <v>222</v>
      </c>
      <c r="C158" s="28" t="s">
        <v>220</v>
      </c>
      <c r="D158" s="28" t="s">
        <v>657</v>
      </c>
      <c r="E158" s="28" t="str">
        <f>_xlfn.XLOOKUP(Table1[[#This Row],[ID Equipo]],Hoja2!A:A,Hoja2!D:D,"NO SE ENCONTRO",0)</f>
        <v>UPS</v>
      </c>
      <c r="F158" s="78" t="s">
        <v>848</v>
      </c>
      <c r="G158" s="28" t="s">
        <v>789</v>
      </c>
    </row>
    <row r="159" spans="1:7" x14ac:dyDescent="0.3">
      <c r="A159" s="44">
        <v>158</v>
      </c>
      <c r="B159" s="40" t="s">
        <v>217</v>
      </c>
      <c r="C159" s="39" t="s">
        <v>216</v>
      </c>
      <c r="D159" s="39" t="s">
        <v>652</v>
      </c>
      <c r="E159" s="39" t="s">
        <v>770</v>
      </c>
      <c r="F159" s="77" t="s">
        <v>848</v>
      </c>
      <c r="G159" s="39"/>
    </row>
    <row r="160" spans="1:7" x14ac:dyDescent="0.3">
      <c r="A160" s="44">
        <v>159</v>
      </c>
      <c r="B160" s="40" t="s">
        <v>218</v>
      </c>
      <c r="C160" s="39" t="s">
        <v>216</v>
      </c>
      <c r="D160" s="39" t="s">
        <v>652</v>
      </c>
      <c r="E160" s="39" t="s">
        <v>772</v>
      </c>
      <c r="F160" s="77" t="s">
        <v>848</v>
      </c>
      <c r="G160" s="39"/>
    </row>
    <row r="161" spans="1:7" x14ac:dyDescent="0.3">
      <c r="A161" s="44">
        <v>160</v>
      </c>
      <c r="B161" s="40" t="s">
        <v>219</v>
      </c>
      <c r="C161" s="39" t="s">
        <v>216</v>
      </c>
      <c r="D161" s="39" t="s">
        <v>652</v>
      </c>
      <c r="E161" s="39" t="str">
        <f>_xlfn.XLOOKUP(Table1[[#This Row],[ID Equipo]],Hoja2!A:A,Hoja2!D:D,"NO SE ENCONTRO",0)</f>
        <v>UPS</v>
      </c>
      <c r="F161" s="77" t="s">
        <v>848</v>
      </c>
      <c r="G161" s="39"/>
    </row>
    <row r="162" spans="1:7" x14ac:dyDescent="0.3">
      <c r="A162" s="44">
        <v>161</v>
      </c>
      <c r="B162" s="39" t="s">
        <v>600</v>
      </c>
      <c r="C162" s="39" t="s">
        <v>820</v>
      </c>
      <c r="D162" s="39" t="s">
        <v>652</v>
      </c>
      <c r="E162" s="39" t="s">
        <v>770</v>
      </c>
      <c r="F162" s="77" t="s">
        <v>848</v>
      </c>
      <c r="G162" s="39"/>
    </row>
    <row r="163" spans="1:7" x14ac:dyDescent="0.3">
      <c r="A163" s="44">
        <v>162</v>
      </c>
      <c r="B163" s="40" t="s">
        <v>550</v>
      </c>
      <c r="C163" s="39" t="s">
        <v>820</v>
      </c>
      <c r="D163" s="39" t="s">
        <v>652</v>
      </c>
      <c r="E163" s="39" t="str">
        <f>_xlfn.XLOOKUP(Table1[[#This Row],[ID Equipo]],Hoja2!A:A,Hoja2!D:D,"NO SE ENCONTRO",0)</f>
        <v>IMPRESORA TERMICA</v>
      </c>
      <c r="F163" s="77" t="s">
        <v>848</v>
      </c>
      <c r="G163" s="39"/>
    </row>
    <row r="164" spans="1:7" x14ac:dyDescent="0.3">
      <c r="A164" s="44">
        <v>163</v>
      </c>
      <c r="B164" s="53" t="s">
        <v>599</v>
      </c>
      <c r="C164" s="39" t="s">
        <v>820</v>
      </c>
      <c r="D164" s="39" t="s">
        <v>652</v>
      </c>
      <c r="E164" s="39" t="str">
        <f>_xlfn.XLOOKUP(Table1[[#This Row],[ID Equipo]],Hoja2!A:A,Hoja2!D:D,"NO SE ENCONTRO",0)</f>
        <v>UPS</v>
      </c>
      <c r="F164" s="77" t="s">
        <v>848</v>
      </c>
      <c r="G164" s="39"/>
    </row>
    <row r="165" spans="1:7" x14ac:dyDescent="0.3">
      <c r="A165" s="44">
        <v>164</v>
      </c>
      <c r="B165" s="35" t="s">
        <v>225</v>
      </c>
      <c r="C165" s="34" t="s">
        <v>224</v>
      </c>
      <c r="D165" s="34" t="s">
        <v>782</v>
      </c>
      <c r="E165" s="34" t="str">
        <f>_xlfn.XLOOKUP(Table1[[#This Row],[ID Equipo]],Hoja2!A:A,Hoja2!D:D,"NO SE ENCONTRO",0)</f>
        <v>IMPRESORA TERMICA</v>
      </c>
      <c r="F165" s="54" t="s">
        <v>848</v>
      </c>
      <c r="G165" s="34"/>
    </row>
    <row r="166" spans="1:7" x14ac:dyDescent="0.3">
      <c r="A166" s="44">
        <v>165</v>
      </c>
      <c r="B166" s="40" t="s">
        <v>229</v>
      </c>
      <c r="C166" s="39" t="s">
        <v>228</v>
      </c>
      <c r="D166" s="39" t="s">
        <v>652</v>
      </c>
      <c r="E166" s="39" t="str">
        <f>_xlfn.XLOOKUP(Table1[[#This Row],[ID Equipo]],Hoja2!A:A,Hoja2!D:D,"NO SE ENCONTRO",0)</f>
        <v>COMPUTADORA DE ESCRITORIO</v>
      </c>
      <c r="F166" s="77" t="s">
        <v>848</v>
      </c>
      <c r="G166" s="39"/>
    </row>
    <row r="167" spans="1:7" x14ac:dyDescent="0.3">
      <c r="A167" s="44">
        <v>166</v>
      </c>
      <c r="B167" s="40" t="s">
        <v>838</v>
      </c>
      <c r="C167" s="39" t="s">
        <v>228</v>
      </c>
      <c r="D167" s="39" t="s">
        <v>652</v>
      </c>
      <c r="E167" s="39" t="s">
        <v>771</v>
      </c>
      <c r="F167" s="77" t="s">
        <v>848</v>
      </c>
      <c r="G167" s="39"/>
    </row>
    <row r="168" spans="1:7" x14ac:dyDescent="0.3">
      <c r="A168" s="44">
        <v>167</v>
      </c>
      <c r="B168" s="35" t="s">
        <v>682</v>
      </c>
      <c r="C168" s="34" t="s">
        <v>846</v>
      </c>
      <c r="D168" s="34" t="s">
        <v>782</v>
      </c>
      <c r="E168" s="34" t="s">
        <v>770</v>
      </c>
      <c r="F168" s="54" t="s">
        <v>848</v>
      </c>
      <c r="G168" s="34"/>
    </row>
    <row r="169" spans="1:7" x14ac:dyDescent="0.3">
      <c r="A169" s="44">
        <v>168</v>
      </c>
      <c r="B169" s="40" t="s">
        <v>232</v>
      </c>
      <c r="C169" s="39" t="s">
        <v>231</v>
      </c>
      <c r="D169" s="39" t="s">
        <v>652</v>
      </c>
      <c r="E169" s="39" t="str">
        <f>_xlfn.XLOOKUP(Table1[[#This Row],[ID Equipo]],Hoja2!A:A,Hoja2!D:D,"NO SE ENCONTRO",0)</f>
        <v>COMPUTADORA DE ESCRITORIO</v>
      </c>
      <c r="F169" s="77" t="s">
        <v>848</v>
      </c>
      <c r="G169" s="39"/>
    </row>
    <row r="170" spans="1:7" x14ac:dyDescent="0.3">
      <c r="A170" s="44">
        <v>169</v>
      </c>
      <c r="B170" s="53" t="s">
        <v>602</v>
      </c>
      <c r="C170" s="39" t="s">
        <v>845</v>
      </c>
      <c r="D170" s="39" t="s">
        <v>652</v>
      </c>
      <c r="E170" s="39" t="str">
        <f>_xlfn.XLOOKUP(Table1[[#This Row],[ID Equipo]],Hoja2!A:A,Hoja2!D:D,"NO SE ENCONTRO",0)</f>
        <v>UPS</v>
      </c>
      <c r="F170" s="77" t="s">
        <v>848</v>
      </c>
      <c r="G170" s="39"/>
    </row>
    <row r="171" spans="1:7" x14ac:dyDescent="0.3">
      <c r="A171" s="44">
        <v>170</v>
      </c>
      <c r="B171" s="40" t="s">
        <v>234</v>
      </c>
      <c r="C171" s="39" t="s">
        <v>233</v>
      </c>
      <c r="D171" s="39" t="s">
        <v>652</v>
      </c>
      <c r="E171" s="39" t="str">
        <f>_xlfn.XLOOKUP(Table1[[#This Row],[ID Equipo]],Hoja2!A:A,Hoja2!D:D,"NO SE ENCONTRO",0)</f>
        <v>COMPUTADORA DE ESCRITORIO</v>
      </c>
      <c r="F171" s="77" t="s">
        <v>848</v>
      </c>
      <c r="G171" s="39"/>
    </row>
    <row r="172" spans="1:7" x14ac:dyDescent="0.3">
      <c r="A172" s="44">
        <v>171</v>
      </c>
      <c r="B172" s="40" t="s">
        <v>235</v>
      </c>
      <c r="C172" s="39" t="s">
        <v>233</v>
      </c>
      <c r="D172" s="39" t="s">
        <v>652</v>
      </c>
      <c r="E172" s="39" t="str">
        <f>_xlfn.XLOOKUP(Table1[[#This Row],[ID Equipo]],Hoja2!A:A,Hoja2!D:D,"NO SE ENCONTRO",0)</f>
        <v>UPS</v>
      </c>
      <c r="F172" s="77" t="s">
        <v>848</v>
      </c>
      <c r="G172" s="39"/>
    </row>
    <row r="173" spans="1:7" x14ac:dyDescent="0.3">
      <c r="A173" s="44">
        <v>172</v>
      </c>
      <c r="B173" s="35" t="s">
        <v>237</v>
      </c>
      <c r="C173" s="34" t="s">
        <v>236</v>
      </c>
      <c r="D173" s="34" t="s">
        <v>782</v>
      </c>
      <c r="E173" s="34" t="s">
        <v>771</v>
      </c>
      <c r="F173" s="54" t="s">
        <v>848</v>
      </c>
      <c r="G173" s="34"/>
    </row>
    <row r="174" spans="1:7" x14ac:dyDescent="0.3">
      <c r="A174" s="44">
        <v>173</v>
      </c>
      <c r="B174" s="35" t="s">
        <v>239</v>
      </c>
      <c r="C174" s="34" t="s">
        <v>785</v>
      </c>
      <c r="D174" s="34" t="s">
        <v>782</v>
      </c>
      <c r="E174" s="34" t="str">
        <f>_xlfn.XLOOKUP(Table1[[#This Row],[ID Equipo]],Hoja2!A:A,Hoja2!D:D,"NO SE ENCONTRO",0)</f>
        <v>UPS</v>
      </c>
      <c r="F174" s="54" t="s">
        <v>848</v>
      </c>
      <c r="G174" s="34"/>
    </row>
    <row r="175" spans="1:7" x14ac:dyDescent="0.3">
      <c r="A175" s="44">
        <v>174</v>
      </c>
      <c r="B175" s="35" t="s">
        <v>240</v>
      </c>
      <c r="C175" s="34" t="s">
        <v>786</v>
      </c>
      <c r="D175" s="34" t="s">
        <v>782</v>
      </c>
      <c r="E175" s="34" t="str">
        <f>_xlfn.XLOOKUP(Table1[[#This Row],[ID Equipo]],Hoja2!A:A,Hoja2!D:D,"NO SE ENCONTRO",0)</f>
        <v>UPS</v>
      </c>
      <c r="F175" s="54" t="s">
        <v>848</v>
      </c>
      <c r="G175" s="34"/>
    </row>
    <row r="176" spans="1:7" x14ac:dyDescent="0.3">
      <c r="A176" s="44">
        <v>175</v>
      </c>
      <c r="B176" s="35" t="s">
        <v>227</v>
      </c>
      <c r="C176" s="34" t="s">
        <v>784</v>
      </c>
      <c r="D176" s="34" t="s">
        <v>782</v>
      </c>
      <c r="E176" s="34" t="str">
        <f>_xlfn.XLOOKUP(Table1[[#This Row],[ID Equipo]],Hoja2!A:A,Hoja2!D:D,"NO SE ENCONTRO",0)</f>
        <v>UPS</v>
      </c>
      <c r="F176" s="54" t="s">
        <v>848</v>
      </c>
      <c r="G176" s="34"/>
    </row>
    <row r="177" spans="1:7" x14ac:dyDescent="0.3">
      <c r="A177" s="44">
        <v>176</v>
      </c>
      <c r="B177" s="35" t="s">
        <v>242</v>
      </c>
      <c r="C177" s="34" t="s">
        <v>241</v>
      </c>
      <c r="D177" s="34" t="s">
        <v>782</v>
      </c>
      <c r="E177" s="34" t="str">
        <f>_xlfn.XLOOKUP(Table1[[#This Row],[ID Equipo]],Hoja2!A:A,Hoja2!D:D,"NO SE ENCONTRO",0)</f>
        <v>COMPUTADORA DE ESCRITORIO</v>
      </c>
      <c r="F177" s="54" t="s">
        <v>848</v>
      </c>
      <c r="G177" s="34"/>
    </row>
    <row r="178" spans="1:7" x14ac:dyDescent="0.3">
      <c r="A178" s="44">
        <v>177</v>
      </c>
      <c r="B178" s="35" t="s">
        <v>244</v>
      </c>
      <c r="C178" s="34" t="s">
        <v>243</v>
      </c>
      <c r="D178" s="34" t="s">
        <v>782</v>
      </c>
      <c r="E178" s="34" t="str">
        <f>_xlfn.XLOOKUP(Table1[[#This Row],[ID Equipo]],Hoja2!A:A,Hoja2!D:D,"NO SE ENCONTRO",0)</f>
        <v>COMPUTADORA DE ESCRITORIO</v>
      </c>
      <c r="F178" s="54" t="s">
        <v>848</v>
      </c>
      <c r="G178" s="34"/>
    </row>
    <row r="179" spans="1:7" x14ac:dyDescent="0.3">
      <c r="A179" s="44">
        <v>178</v>
      </c>
      <c r="B179" s="35" t="s">
        <v>246</v>
      </c>
      <c r="C179" s="34" t="s">
        <v>778</v>
      </c>
      <c r="D179" s="34" t="s">
        <v>782</v>
      </c>
      <c r="E179" s="34" t="str">
        <f>_xlfn.XLOOKUP(Table1[[#This Row],[ID Equipo]],Hoja2!A:A,Hoja2!D:D,"NO SE ENCONTRO",0)</f>
        <v>COMPUTADORA DE ESCRITORIO</v>
      </c>
      <c r="F179" s="54" t="s">
        <v>848</v>
      </c>
      <c r="G179" s="34"/>
    </row>
    <row r="180" spans="1:7" x14ac:dyDescent="0.3">
      <c r="A180" s="44">
        <v>179</v>
      </c>
      <c r="B180" s="35" t="s">
        <v>250</v>
      </c>
      <c r="C180" s="34" t="s">
        <v>249</v>
      </c>
      <c r="D180" s="34" t="s">
        <v>782</v>
      </c>
      <c r="E180" s="34" t="str">
        <f>_xlfn.XLOOKUP(Table1[[#This Row],[ID Equipo]],Hoja2!A:A,Hoja2!D:D,"NO SE ENCONTRO",0)</f>
        <v>COMPUTADORA DE ESCRITORIO</v>
      </c>
      <c r="F180" s="54" t="s">
        <v>848</v>
      </c>
      <c r="G180" s="34"/>
    </row>
    <row r="181" spans="1:7" x14ac:dyDescent="0.3">
      <c r="A181" s="44">
        <v>180</v>
      </c>
      <c r="B181" s="40" t="s">
        <v>252</v>
      </c>
      <c r="C181" s="39" t="s">
        <v>251</v>
      </c>
      <c r="D181" s="39" t="s">
        <v>652</v>
      </c>
      <c r="E181" s="39" t="s">
        <v>770</v>
      </c>
      <c r="F181" s="77" t="s">
        <v>848</v>
      </c>
      <c r="G181" s="39"/>
    </row>
    <row r="182" spans="1:7" x14ac:dyDescent="0.3">
      <c r="A182" s="44">
        <v>181</v>
      </c>
      <c r="B182" s="40" t="s">
        <v>1206</v>
      </c>
      <c r="C182" s="39" t="s">
        <v>251</v>
      </c>
      <c r="D182" s="39" t="s">
        <v>652</v>
      </c>
      <c r="E182" s="39" t="s">
        <v>771</v>
      </c>
      <c r="F182" s="77" t="s">
        <v>848</v>
      </c>
      <c r="G182" s="39"/>
    </row>
    <row r="183" spans="1:7" x14ac:dyDescent="0.3">
      <c r="A183" s="44">
        <v>182</v>
      </c>
      <c r="B183" s="35" t="s">
        <v>254</v>
      </c>
      <c r="C183" s="34" t="s">
        <v>253</v>
      </c>
      <c r="D183" s="34" t="s">
        <v>782</v>
      </c>
      <c r="E183" s="34" t="str">
        <f>_xlfn.XLOOKUP(Table1[[#This Row],[ID Equipo]],Hoja2!A:A,Hoja2!D:D,"NO SE ENCONTRO",0)</f>
        <v>COMPUTADORA DE ESCRITORIO</v>
      </c>
      <c r="F183" s="54" t="s">
        <v>848</v>
      </c>
      <c r="G183" s="34"/>
    </row>
    <row r="184" spans="1:7" x14ac:dyDescent="0.3">
      <c r="A184" s="44">
        <v>183</v>
      </c>
      <c r="B184" s="40" t="s">
        <v>257</v>
      </c>
      <c r="C184" s="39" t="s">
        <v>255</v>
      </c>
      <c r="D184" s="39" t="s">
        <v>652</v>
      </c>
      <c r="E184" s="39" t="str">
        <f>_xlfn.XLOOKUP(Table1[[#This Row],[ID Equipo]],Hoja2!A:A,Hoja2!D:D,"NO SE ENCONTRO",0)</f>
        <v>COMPUTADORA DE ESCRITORIO</v>
      </c>
      <c r="F184" s="77" t="s">
        <v>848</v>
      </c>
      <c r="G184" s="39"/>
    </row>
    <row r="185" spans="1:7" x14ac:dyDescent="0.3">
      <c r="A185" s="44">
        <v>184</v>
      </c>
      <c r="B185" s="40" t="s">
        <v>258</v>
      </c>
      <c r="C185" s="39" t="s">
        <v>255</v>
      </c>
      <c r="D185" s="39" t="s">
        <v>652</v>
      </c>
      <c r="E185" s="39" t="str">
        <f>_xlfn.XLOOKUP(Table1[[#This Row],[ID Equipo]],Hoja2!A:A,Hoja2!D:D,"NO SE ENCONTRO",0)</f>
        <v>UPS</v>
      </c>
      <c r="F185" s="77" t="s">
        <v>848</v>
      </c>
      <c r="G185" s="39"/>
    </row>
    <row r="186" spans="1:7" x14ac:dyDescent="0.3">
      <c r="A186" s="44">
        <v>185</v>
      </c>
      <c r="B186" s="40" t="s">
        <v>259</v>
      </c>
      <c r="C186" s="39" t="s">
        <v>256</v>
      </c>
      <c r="D186" s="39" t="s">
        <v>652</v>
      </c>
      <c r="E186" s="39" t="str">
        <f>_xlfn.XLOOKUP(Table1[[#This Row],[ID Equipo]],Hoja2!A:A,Hoja2!D:D,"NO SE ENCONTRO",0)</f>
        <v>COMPUTADORA DE ESCRITORIO</v>
      </c>
      <c r="F186" s="77" t="s">
        <v>848</v>
      </c>
      <c r="G186" s="39"/>
    </row>
    <row r="187" spans="1:7" x14ac:dyDescent="0.3">
      <c r="A187" s="44">
        <v>186</v>
      </c>
      <c r="B187" s="40" t="s">
        <v>260</v>
      </c>
      <c r="C187" s="39" t="s">
        <v>256</v>
      </c>
      <c r="D187" s="39" t="s">
        <v>652</v>
      </c>
      <c r="E187" s="39" t="str">
        <f>_xlfn.XLOOKUP(Table1[[#This Row],[ID Equipo]],Hoja2!A:A,Hoja2!D:D,"NO SE ENCONTRO",0)</f>
        <v>UPS</v>
      </c>
      <c r="F187" s="77" t="s">
        <v>848</v>
      </c>
      <c r="G187" s="39"/>
    </row>
    <row r="188" spans="1:7" x14ac:dyDescent="0.3">
      <c r="A188" s="44">
        <v>187</v>
      </c>
      <c r="B188" s="35" t="s">
        <v>261</v>
      </c>
      <c r="C188" s="34" t="s">
        <v>265</v>
      </c>
      <c r="D188" s="34" t="s">
        <v>782</v>
      </c>
      <c r="E188" s="34" t="str">
        <f>_xlfn.XLOOKUP(Table1[[#This Row],[ID Equipo]],Hoja2!A:A,Hoja2!D:D,"NO SE ENCONTRO",0)</f>
        <v>UPS</v>
      </c>
      <c r="F188" s="54" t="s">
        <v>848</v>
      </c>
      <c r="G188" s="34"/>
    </row>
    <row r="189" spans="1:7" x14ac:dyDescent="0.3">
      <c r="A189" s="44">
        <v>188</v>
      </c>
      <c r="B189" s="40" t="s">
        <v>264</v>
      </c>
      <c r="C189" s="39" t="s">
        <v>262</v>
      </c>
      <c r="D189" s="39" t="s">
        <v>652</v>
      </c>
      <c r="E189" s="39" t="str">
        <f>_xlfn.XLOOKUP(Table1[[#This Row],[ID Equipo]],Hoja2!A:A,Hoja2!D:D,"NO SE ENCONTRO",0)</f>
        <v>COMPUTADORA DE ESCRITORIO</v>
      </c>
      <c r="F189" s="77" t="s">
        <v>848</v>
      </c>
      <c r="G189" s="39"/>
    </row>
    <row r="190" spans="1:7" x14ac:dyDescent="0.3">
      <c r="A190" s="44">
        <v>189</v>
      </c>
      <c r="B190" s="40" t="s">
        <v>266</v>
      </c>
      <c r="C190" s="39" t="s">
        <v>262</v>
      </c>
      <c r="D190" s="39" t="s">
        <v>652</v>
      </c>
      <c r="E190" s="39" t="str">
        <f>_xlfn.XLOOKUP(Table1[[#This Row],[ID Equipo]],Hoja2!A:A,Hoja2!D:D,"NO SE ENCONTRO",0)</f>
        <v>UPS</v>
      </c>
      <c r="F190" s="77" t="s">
        <v>848</v>
      </c>
      <c r="G190" s="39"/>
    </row>
    <row r="191" spans="1:7" x14ac:dyDescent="0.3">
      <c r="A191" s="44">
        <v>190</v>
      </c>
      <c r="B191" s="40" t="s">
        <v>248</v>
      </c>
      <c r="C191" s="39" t="s">
        <v>247</v>
      </c>
      <c r="D191" s="39" t="s">
        <v>652</v>
      </c>
      <c r="E191" s="39" t="str">
        <f>_xlfn.XLOOKUP(Table1[[#This Row],[ID Equipo]],Hoja2!A:A,Hoja2!D:D,"NO SE ENCONTRO",0)</f>
        <v>UPS</v>
      </c>
      <c r="F191" s="77" t="s">
        <v>848</v>
      </c>
      <c r="G191" s="39"/>
    </row>
    <row r="192" spans="1:7" x14ac:dyDescent="0.3">
      <c r="A192" s="44">
        <v>191</v>
      </c>
      <c r="B192" s="40" t="s">
        <v>263</v>
      </c>
      <c r="C192" s="39" t="s">
        <v>247</v>
      </c>
      <c r="D192" s="39" t="s">
        <v>652</v>
      </c>
      <c r="E192" s="39" t="str">
        <f>_xlfn.XLOOKUP(Table1[[#This Row],[ID Equipo]],Hoja2!A:A,Hoja2!D:D,"NO SE ENCONTRO",0)</f>
        <v>COMPUTADORA DE ESCRITORIO</v>
      </c>
      <c r="F192" s="77" t="s">
        <v>848</v>
      </c>
      <c r="G192" s="39"/>
    </row>
    <row r="193" spans="1:7" x14ac:dyDescent="0.3">
      <c r="A193" s="44">
        <v>192</v>
      </c>
      <c r="B193" s="29" t="s">
        <v>271</v>
      </c>
      <c r="C193" s="28" t="s">
        <v>270</v>
      </c>
      <c r="D193" s="28" t="s">
        <v>657</v>
      </c>
      <c r="E193" s="28" t="s">
        <v>770</v>
      </c>
      <c r="F193" s="78" t="s">
        <v>848</v>
      </c>
      <c r="G193" s="28"/>
    </row>
    <row r="194" spans="1:7" x14ac:dyDescent="0.3">
      <c r="A194" s="44">
        <v>193</v>
      </c>
      <c r="B194" s="29" t="s">
        <v>272</v>
      </c>
      <c r="C194" s="28" t="s">
        <v>270</v>
      </c>
      <c r="D194" s="28" t="s">
        <v>657</v>
      </c>
      <c r="E194" s="28" t="str">
        <f>_xlfn.XLOOKUP(Table1[[#This Row],[ID Equipo]],Hoja2!A:A,Hoja2!D:D,"NO SE ENCONTRO",0)</f>
        <v>IMPRESORA TERMICA</v>
      </c>
      <c r="F194" s="78" t="s">
        <v>848</v>
      </c>
      <c r="G194" s="28"/>
    </row>
    <row r="195" spans="1:7" x14ac:dyDescent="0.3">
      <c r="A195" s="44">
        <v>194</v>
      </c>
      <c r="B195" s="29" t="s">
        <v>273</v>
      </c>
      <c r="C195" s="28" t="s">
        <v>270</v>
      </c>
      <c r="D195" s="28" t="s">
        <v>657</v>
      </c>
      <c r="E195" s="28" t="str">
        <f>_xlfn.XLOOKUP(Table1[[#This Row],[ID Equipo]],Hoja2!A:A,Hoja2!D:D,"NO SE ENCONTRO",0)</f>
        <v>UPS</v>
      </c>
      <c r="F195" s="78" t="s">
        <v>848</v>
      </c>
      <c r="G195" s="28"/>
    </row>
    <row r="196" spans="1:7" x14ac:dyDescent="0.3">
      <c r="A196" s="44">
        <v>195</v>
      </c>
      <c r="B196" s="29" t="s">
        <v>268</v>
      </c>
      <c r="C196" s="28" t="s">
        <v>267</v>
      </c>
      <c r="D196" s="28" t="s">
        <v>657</v>
      </c>
      <c r="E196" s="28" t="str">
        <f>_xlfn.XLOOKUP(Table1[[#This Row],[ID Equipo]],Hoja2!A:A,Hoja2!D:D,"NO SE ENCONTRO",0)</f>
        <v>COMPUTADORA DE ESCRITORIO</v>
      </c>
      <c r="F196" s="78" t="s">
        <v>848</v>
      </c>
      <c r="G196" s="28"/>
    </row>
    <row r="197" spans="1:7" x14ac:dyDescent="0.3">
      <c r="A197" s="44">
        <v>196</v>
      </c>
      <c r="B197" s="29" t="s">
        <v>269</v>
      </c>
      <c r="C197" s="28" t="s">
        <v>267</v>
      </c>
      <c r="D197" s="28" t="s">
        <v>657</v>
      </c>
      <c r="E197" s="28" t="str">
        <f>_xlfn.XLOOKUP(Table1[[#This Row],[ID Equipo]],Hoja2!A:A,Hoja2!D:D,"NO SE ENCONTRO",0)</f>
        <v>UPS</v>
      </c>
      <c r="F197" s="78" t="s">
        <v>848</v>
      </c>
      <c r="G197" s="28"/>
    </row>
    <row r="198" spans="1:7" x14ac:dyDescent="0.3">
      <c r="A198" s="44">
        <v>197</v>
      </c>
      <c r="B198" s="29" t="s">
        <v>274</v>
      </c>
      <c r="C198" s="28" t="s">
        <v>267</v>
      </c>
      <c r="D198" s="28" t="s">
        <v>657</v>
      </c>
      <c r="E198" s="28" t="str">
        <f>_xlfn.XLOOKUP(Table1[[#This Row],[ID Equipo]],Hoja2!A:A,Hoja2!D:D,"NO SE ENCONTRO",0)</f>
        <v>IMPRESORA TERMICA</v>
      </c>
      <c r="F198" s="78" t="s">
        <v>848</v>
      </c>
      <c r="G198" s="28"/>
    </row>
    <row r="199" spans="1:7" x14ac:dyDescent="0.3">
      <c r="A199" s="44">
        <v>198</v>
      </c>
      <c r="B199" s="44" t="s">
        <v>584</v>
      </c>
      <c r="C199" s="44" t="s">
        <v>816</v>
      </c>
      <c r="D199" s="44" t="s">
        <v>651</v>
      </c>
      <c r="E199" s="44" t="s">
        <v>771</v>
      </c>
      <c r="F199" s="76" t="s">
        <v>848</v>
      </c>
      <c r="G199" s="44" t="s">
        <v>815</v>
      </c>
    </row>
    <row r="200" spans="1:7" x14ac:dyDescent="0.3">
      <c r="A200" s="44">
        <v>199</v>
      </c>
      <c r="B200" s="45" t="s">
        <v>534</v>
      </c>
      <c r="C200" s="44" t="s">
        <v>817</v>
      </c>
      <c r="D200" s="44" t="s">
        <v>651</v>
      </c>
      <c r="E200" s="44" t="str">
        <f>_xlfn.XLOOKUP(Table1[[#This Row],[ID Equipo]],Hoja2!A:A,Hoja2!D:D,"NO SE ENCONTRO",0)</f>
        <v>UPS</v>
      </c>
      <c r="F200" s="76" t="s">
        <v>848</v>
      </c>
      <c r="G200" s="44" t="s">
        <v>815</v>
      </c>
    </row>
    <row r="201" spans="1:7" x14ac:dyDescent="0.3">
      <c r="A201" s="44">
        <v>200</v>
      </c>
      <c r="B201" s="45" t="s">
        <v>585</v>
      </c>
      <c r="C201" s="44" t="s">
        <v>817</v>
      </c>
      <c r="D201" s="44" t="s">
        <v>651</v>
      </c>
      <c r="E201" s="44" t="s">
        <v>770</v>
      </c>
      <c r="F201" s="76" t="s">
        <v>848</v>
      </c>
      <c r="G201" s="44" t="s">
        <v>815</v>
      </c>
    </row>
    <row r="202" spans="1:7" x14ac:dyDescent="0.3">
      <c r="A202" s="44">
        <v>201</v>
      </c>
      <c r="B202" s="29" t="s">
        <v>276</v>
      </c>
      <c r="C202" s="28" t="s">
        <v>275</v>
      </c>
      <c r="D202" s="28" t="s">
        <v>657</v>
      </c>
      <c r="E202" s="28" t="s">
        <v>770</v>
      </c>
      <c r="F202" s="78" t="s">
        <v>848</v>
      </c>
      <c r="G202" s="28"/>
    </row>
    <row r="203" spans="1:7" x14ac:dyDescent="0.3">
      <c r="A203" s="44">
        <v>202</v>
      </c>
      <c r="B203" s="29" t="s">
        <v>277</v>
      </c>
      <c r="C203" s="28" t="s">
        <v>275</v>
      </c>
      <c r="D203" s="28" t="s">
        <v>657</v>
      </c>
      <c r="E203" s="28" t="s">
        <v>772</v>
      </c>
      <c r="F203" s="78" t="s">
        <v>848</v>
      </c>
      <c r="G203" s="28"/>
    </row>
    <row r="204" spans="1:7" x14ac:dyDescent="0.3">
      <c r="A204" s="44">
        <v>203</v>
      </c>
      <c r="B204" s="29" t="s">
        <v>278</v>
      </c>
      <c r="C204" s="28" t="s">
        <v>275</v>
      </c>
      <c r="D204" s="28" t="s">
        <v>657</v>
      </c>
      <c r="E204" s="28" t="str">
        <f>_xlfn.XLOOKUP(Table1[[#This Row],[ID Equipo]],Hoja2!A:A,Hoja2!D:D,"NO SE ENCONTRO",0)</f>
        <v>UPS</v>
      </c>
      <c r="F204" s="78" t="s">
        <v>848</v>
      </c>
      <c r="G204" s="28"/>
    </row>
    <row r="205" spans="1:7" x14ac:dyDescent="0.3">
      <c r="A205" s="44">
        <v>204</v>
      </c>
      <c r="B205" s="35" t="s">
        <v>280</v>
      </c>
      <c r="C205" s="34" t="s">
        <v>279</v>
      </c>
      <c r="D205" s="34" t="s">
        <v>782</v>
      </c>
      <c r="E205" s="34" t="str">
        <f>_xlfn.XLOOKUP(Table1[[#This Row],[ID Equipo]],Hoja2!A:A,Hoja2!D:D,"NO SE ENCONTRO",0)</f>
        <v>UPS</v>
      </c>
      <c r="F205" s="54" t="s">
        <v>848</v>
      </c>
      <c r="G205" s="34"/>
    </row>
    <row r="206" spans="1:7" x14ac:dyDescent="0.3">
      <c r="A206" s="44">
        <v>205</v>
      </c>
      <c r="B206" s="29" t="s">
        <v>282</v>
      </c>
      <c r="C206" s="28" t="s">
        <v>281</v>
      </c>
      <c r="D206" s="28" t="s">
        <v>657</v>
      </c>
      <c r="E206" s="28" t="str">
        <f>_xlfn.XLOOKUP(Table1[[#This Row],[ID Equipo]],Hoja2!A:A,Hoja2!D:D,"NO SE ENCONTRO",0)</f>
        <v>COMPUTADORA DE ESCRITORIO</v>
      </c>
      <c r="F206" s="78" t="s">
        <v>848</v>
      </c>
      <c r="G206" s="28"/>
    </row>
    <row r="207" spans="1:7" x14ac:dyDescent="0.3">
      <c r="A207" s="44">
        <v>206</v>
      </c>
      <c r="B207" s="29" t="s">
        <v>284</v>
      </c>
      <c r="C207" s="28" t="s">
        <v>281</v>
      </c>
      <c r="D207" s="28" t="s">
        <v>657</v>
      </c>
      <c r="E207" s="28" t="str">
        <f>_xlfn.XLOOKUP(Table1[[#This Row],[ID Equipo]],Hoja2!A:A,Hoja2!D:D,"NO SE ENCONTRO",0)</f>
        <v>UPS</v>
      </c>
      <c r="F207" s="78" t="s">
        <v>848</v>
      </c>
      <c r="G207" s="28"/>
    </row>
    <row r="208" spans="1:7" x14ac:dyDescent="0.3">
      <c r="A208" s="44">
        <v>207</v>
      </c>
      <c r="B208" s="29" t="s">
        <v>608</v>
      </c>
      <c r="C208" s="28" t="s">
        <v>281</v>
      </c>
      <c r="D208" s="28" t="s">
        <v>657</v>
      </c>
      <c r="E208" s="28" t="s">
        <v>772</v>
      </c>
      <c r="F208" s="78" t="s">
        <v>848</v>
      </c>
      <c r="G208" s="28"/>
    </row>
    <row r="209" spans="1:7" x14ac:dyDescent="0.3">
      <c r="A209" s="44">
        <v>208</v>
      </c>
      <c r="B209" s="29" t="s">
        <v>601</v>
      </c>
      <c r="C209" s="28" t="s">
        <v>285</v>
      </c>
      <c r="D209" s="28" t="s">
        <v>657</v>
      </c>
      <c r="E209" s="28" t="s">
        <v>770</v>
      </c>
      <c r="F209" s="78" t="s">
        <v>848</v>
      </c>
      <c r="G209" s="28"/>
    </row>
    <row r="210" spans="1:7" x14ac:dyDescent="0.3">
      <c r="A210" s="44">
        <v>209</v>
      </c>
      <c r="B210" s="29" t="s">
        <v>286</v>
      </c>
      <c r="C210" s="28" t="s">
        <v>285</v>
      </c>
      <c r="D210" s="28" t="s">
        <v>657</v>
      </c>
      <c r="E210" s="28" t="str">
        <f>_xlfn.XLOOKUP(Table1[[#This Row],[ID Equipo]],Hoja2!A:A,Hoja2!D:D,"NO SE ENCONTRO",0)</f>
        <v>IMPRESORA TERMICA</v>
      </c>
      <c r="F210" s="78" t="s">
        <v>848</v>
      </c>
      <c r="G210" s="28"/>
    </row>
    <row r="211" spans="1:7" x14ac:dyDescent="0.3">
      <c r="A211" s="44">
        <v>210</v>
      </c>
      <c r="B211" s="29" t="s">
        <v>287</v>
      </c>
      <c r="C211" s="28" t="s">
        <v>285</v>
      </c>
      <c r="D211" s="28" t="s">
        <v>657</v>
      </c>
      <c r="E211" s="28" t="s">
        <v>771</v>
      </c>
      <c r="F211" s="78" t="s">
        <v>848</v>
      </c>
      <c r="G211" s="28"/>
    </row>
    <row r="212" spans="1:7" x14ac:dyDescent="0.3">
      <c r="A212" s="44">
        <v>211</v>
      </c>
      <c r="B212" s="29" t="s">
        <v>289</v>
      </c>
      <c r="C212" s="28" t="s">
        <v>288</v>
      </c>
      <c r="D212" s="28" t="s">
        <v>657</v>
      </c>
      <c r="E212" s="28" t="str">
        <f>_xlfn.XLOOKUP(Table1[[#This Row],[ID Equipo]],Hoja2!A:A,Hoja2!D:D,"NO SE ENCONTRO",0)</f>
        <v>COMPUTADORA DE ESCRITORIO</v>
      </c>
      <c r="F212" s="78" t="s">
        <v>848</v>
      </c>
      <c r="G212" s="28"/>
    </row>
    <row r="213" spans="1:7" x14ac:dyDescent="0.3">
      <c r="A213" s="44">
        <v>212</v>
      </c>
      <c r="B213" s="29" t="s">
        <v>290</v>
      </c>
      <c r="C213" s="28" t="s">
        <v>288</v>
      </c>
      <c r="D213" s="28" t="s">
        <v>657</v>
      </c>
      <c r="E213" s="28" t="str">
        <f>_xlfn.XLOOKUP(Table1[[#This Row],[ID Equipo]],Hoja2!A:A,Hoja2!D:D,"NO SE ENCONTRO",0)</f>
        <v>IMPRESORA TERMICA</v>
      </c>
      <c r="F213" s="78" t="s">
        <v>848</v>
      </c>
      <c r="G213" s="28"/>
    </row>
    <row r="214" spans="1:7" x14ac:dyDescent="0.3">
      <c r="A214" s="44">
        <v>213</v>
      </c>
      <c r="B214" s="29" t="s">
        <v>291</v>
      </c>
      <c r="C214" s="28" t="s">
        <v>288</v>
      </c>
      <c r="D214" s="28" t="s">
        <v>657</v>
      </c>
      <c r="E214" s="28" t="str">
        <f>_xlfn.XLOOKUP(Table1[[#This Row],[ID Equipo]],Hoja2!A:A,Hoja2!D:D,"NO SE ENCONTRO",0)</f>
        <v>UPS</v>
      </c>
      <c r="F214" s="78" t="s">
        <v>848</v>
      </c>
      <c r="G214" s="28"/>
    </row>
    <row r="215" spans="1:7" x14ac:dyDescent="0.3">
      <c r="A215" s="44">
        <v>214</v>
      </c>
      <c r="B215" s="35" t="s">
        <v>293</v>
      </c>
      <c r="C215" s="34" t="s">
        <v>292</v>
      </c>
      <c r="D215" s="34" t="s">
        <v>782</v>
      </c>
      <c r="E215" s="34" t="str">
        <f>_xlfn.XLOOKUP(Table1[[#This Row],[ID Equipo]],Hoja2!A:A,Hoja2!D:D,"NO SE ENCONTRO",0)</f>
        <v>UPS</v>
      </c>
      <c r="F215" s="54" t="s">
        <v>848</v>
      </c>
      <c r="G215" s="34"/>
    </row>
    <row r="216" spans="1:7" x14ac:dyDescent="0.3">
      <c r="A216" s="44">
        <v>215</v>
      </c>
      <c r="B216" s="29" t="s">
        <v>295</v>
      </c>
      <c r="C216" s="28" t="s">
        <v>294</v>
      </c>
      <c r="D216" s="28" t="s">
        <v>657</v>
      </c>
      <c r="E216" s="28" t="s">
        <v>770</v>
      </c>
      <c r="F216" s="78" t="s">
        <v>848</v>
      </c>
      <c r="G216" s="28"/>
    </row>
    <row r="217" spans="1:7" x14ac:dyDescent="0.3">
      <c r="A217" s="44">
        <v>216</v>
      </c>
      <c r="B217" s="29" t="s">
        <v>296</v>
      </c>
      <c r="C217" s="28" t="s">
        <v>294</v>
      </c>
      <c r="D217" s="28" t="s">
        <v>657</v>
      </c>
      <c r="E217" s="28" t="str">
        <f>_xlfn.XLOOKUP(Table1[[#This Row],[ID Equipo]],Hoja2!A:A,Hoja2!D:D,"NO SE ENCONTRO",0)</f>
        <v>IMPRESORA TERMICA</v>
      </c>
      <c r="F217" s="78" t="s">
        <v>848</v>
      </c>
      <c r="G217" s="28"/>
    </row>
    <row r="218" spans="1:7" x14ac:dyDescent="0.3">
      <c r="A218" s="44">
        <v>217</v>
      </c>
      <c r="B218" s="29" t="s">
        <v>297</v>
      </c>
      <c r="C218" s="28" t="s">
        <v>294</v>
      </c>
      <c r="D218" s="28" t="s">
        <v>657</v>
      </c>
      <c r="E218" s="28" t="str">
        <f>_xlfn.XLOOKUP(Table1[[#This Row],[ID Equipo]],Hoja2!A:A,Hoja2!D:D,"NO SE ENCONTRO",0)</f>
        <v>UPS</v>
      </c>
      <c r="F218" s="78" t="s">
        <v>848</v>
      </c>
      <c r="G218" s="28"/>
    </row>
    <row r="219" spans="1:7" x14ac:dyDescent="0.3">
      <c r="A219" s="44">
        <v>218</v>
      </c>
      <c r="B219" s="29" t="s">
        <v>299</v>
      </c>
      <c r="C219" s="28" t="s">
        <v>298</v>
      </c>
      <c r="D219" s="28" t="s">
        <v>657</v>
      </c>
      <c r="E219" s="28" t="str">
        <f>_xlfn.XLOOKUP(Table1[[#This Row],[ID Equipo]],Hoja2!A:A,Hoja2!D:D,"NO SE ENCONTRO",0)</f>
        <v>COMPUTADORA DE ESCRITORIO</v>
      </c>
      <c r="F219" s="78" t="s">
        <v>848</v>
      </c>
      <c r="G219" s="28"/>
    </row>
    <row r="220" spans="1:7" x14ac:dyDescent="0.3">
      <c r="A220" s="44">
        <v>219</v>
      </c>
      <c r="B220" s="29" t="s">
        <v>787</v>
      </c>
      <c r="C220" s="28" t="s">
        <v>298</v>
      </c>
      <c r="D220" s="28" t="s">
        <v>657</v>
      </c>
      <c r="E220" s="28" t="s">
        <v>772</v>
      </c>
      <c r="F220" s="78" t="s">
        <v>848</v>
      </c>
      <c r="G220" s="28"/>
    </row>
    <row r="221" spans="1:7" x14ac:dyDescent="0.3">
      <c r="A221" s="44">
        <v>220</v>
      </c>
      <c r="B221" s="29" t="s">
        <v>300</v>
      </c>
      <c r="C221" s="28" t="s">
        <v>298</v>
      </c>
      <c r="D221" s="28" t="s">
        <v>657</v>
      </c>
      <c r="E221" s="28" t="str">
        <f>_xlfn.XLOOKUP(Table1[[#This Row],[ID Equipo]],Hoja2!A:A,Hoja2!D:D,"NO SE ENCONTRO",0)</f>
        <v>UPS</v>
      </c>
      <c r="F221" s="78" t="s">
        <v>848</v>
      </c>
      <c r="G221" s="28"/>
    </row>
    <row r="222" spans="1:7" x14ac:dyDescent="0.3">
      <c r="A222" s="44">
        <v>221</v>
      </c>
      <c r="B222" s="29" t="s">
        <v>302</v>
      </c>
      <c r="C222" s="28" t="s">
        <v>301</v>
      </c>
      <c r="D222" s="28" t="s">
        <v>657</v>
      </c>
      <c r="E222" s="28" t="s">
        <v>770</v>
      </c>
      <c r="F222" s="78" t="s">
        <v>848</v>
      </c>
      <c r="G222" s="28"/>
    </row>
    <row r="223" spans="1:7" x14ac:dyDescent="0.3">
      <c r="A223" s="44">
        <v>222</v>
      </c>
      <c r="B223" s="29" t="s">
        <v>303</v>
      </c>
      <c r="C223" s="28" t="s">
        <v>301</v>
      </c>
      <c r="D223" s="28" t="s">
        <v>657</v>
      </c>
      <c r="E223" s="28" t="str">
        <f>_xlfn.XLOOKUP(Table1[[#This Row],[ID Equipo]],Hoja2!A:A,Hoja2!D:D,"NO SE ENCONTRO",0)</f>
        <v>IMPRESORA TERMICA</v>
      </c>
      <c r="F223" s="78" t="s">
        <v>848</v>
      </c>
      <c r="G223" s="28"/>
    </row>
    <row r="224" spans="1:7" x14ac:dyDescent="0.3">
      <c r="A224" s="44">
        <v>223</v>
      </c>
      <c r="B224" s="29" t="s">
        <v>304</v>
      </c>
      <c r="C224" s="28" t="s">
        <v>301</v>
      </c>
      <c r="D224" s="28" t="s">
        <v>657</v>
      </c>
      <c r="E224" s="28" t="str">
        <f>_xlfn.XLOOKUP(Table1[[#This Row],[ID Equipo]],Hoja2!A:A,Hoja2!D:D,"NO SE ENCONTRO",0)</f>
        <v>UPS</v>
      </c>
      <c r="F224" s="78" t="s">
        <v>848</v>
      </c>
      <c r="G224" s="28"/>
    </row>
    <row r="225" spans="1:7" x14ac:dyDescent="0.3">
      <c r="A225" s="44">
        <v>224</v>
      </c>
      <c r="B225" s="35" t="s">
        <v>306</v>
      </c>
      <c r="C225" s="34" t="s">
        <v>305</v>
      </c>
      <c r="D225" s="34" t="s">
        <v>782</v>
      </c>
      <c r="E225" s="34" t="str">
        <f>_xlfn.XLOOKUP(Table1[[#This Row],[ID Equipo]],Hoja2!A:A,Hoja2!D:D,"NO SE ENCONTRO",0)</f>
        <v>UPS</v>
      </c>
      <c r="F225" s="54" t="s">
        <v>848</v>
      </c>
      <c r="G225" s="34"/>
    </row>
    <row r="226" spans="1:7" x14ac:dyDescent="0.3">
      <c r="A226" s="44">
        <v>225</v>
      </c>
      <c r="B226" s="29" t="s">
        <v>308</v>
      </c>
      <c r="C226" s="28" t="s">
        <v>307</v>
      </c>
      <c r="D226" s="28" t="s">
        <v>657</v>
      </c>
      <c r="E226" s="28" t="s">
        <v>770</v>
      </c>
      <c r="F226" s="78" t="s">
        <v>848</v>
      </c>
      <c r="G226" s="28"/>
    </row>
    <row r="227" spans="1:7" x14ac:dyDescent="0.3">
      <c r="A227" s="44">
        <v>226</v>
      </c>
      <c r="B227" s="29" t="s">
        <v>309</v>
      </c>
      <c r="C227" s="28" t="s">
        <v>307</v>
      </c>
      <c r="D227" s="28" t="s">
        <v>657</v>
      </c>
      <c r="E227" s="28" t="str">
        <f>_xlfn.XLOOKUP(Table1[[#This Row],[ID Equipo]],Hoja2!A:A,Hoja2!D:D,"NO SE ENCONTRO",0)</f>
        <v>IMPRESORA TERMICA</v>
      </c>
      <c r="F227" s="78" t="s">
        <v>848</v>
      </c>
      <c r="G227" s="28"/>
    </row>
    <row r="228" spans="1:7" x14ac:dyDescent="0.3">
      <c r="A228" s="44">
        <v>227</v>
      </c>
      <c r="B228" s="29" t="s">
        <v>310</v>
      </c>
      <c r="C228" s="28" t="s">
        <v>307</v>
      </c>
      <c r="D228" s="28" t="s">
        <v>657</v>
      </c>
      <c r="E228" s="28" t="str">
        <f>_xlfn.XLOOKUP(Table1[[#This Row],[ID Equipo]],Hoja2!A:A,Hoja2!D:D,"NO SE ENCONTRO",0)</f>
        <v>UPS</v>
      </c>
      <c r="F228" s="78" t="s">
        <v>848</v>
      </c>
      <c r="G228" s="28"/>
    </row>
    <row r="229" spans="1:7" x14ac:dyDescent="0.3">
      <c r="A229" s="44">
        <v>228</v>
      </c>
      <c r="B229" s="29" t="s">
        <v>312</v>
      </c>
      <c r="C229" s="28" t="s">
        <v>311</v>
      </c>
      <c r="D229" s="28" t="s">
        <v>657</v>
      </c>
      <c r="E229" s="28" t="s">
        <v>770</v>
      </c>
      <c r="F229" s="78" t="s">
        <v>848</v>
      </c>
      <c r="G229" s="28"/>
    </row>
    <row r="230" spans="1:7" x14ac:dyDescent="0.3">
      <c r="A230" s="44">
        <v>229</v>
      </c>
      <c r="B230" s="29" t="s">
        <v>313</v>
      </c>
      <c r="C230" s="28" t="s">
        <v>311</v>
      </c>
      <c r="D230" s="28" t="s">
        <v>657</v>
      </c>
      <c r="E230" s="28" t="str">
        <f>_xlfn.XLOOKUP(Table1[[#This Row],[ID Equipo]],Hoja2!A:A,Hoja2!D:D,"NO SE ENCONTRO",0)</f>
        <v>IMPRESORA TERMICA</v>
      </c>
      <c r="F230" s="78" t="s">
        <v>848</v>
      </c>
      <c r="G230" s="28"/>
    </row>
    <row r="231" spans="1:7" x14ac:dyDescent="0.3">
      <c r="A231" s="44">
        <v>230</v>
      </c>
      <c r="B231" s="29" t="s">
        <v>483</v>
      </c>
      <c r="C231" s="28" t="s">
        <v>311</v>
      </c>
      <c r="D231" s="28" t="s">
        <v>657</v>
      </c>
      <c r="E231" s="28" t="s">
        <v>771</v>
      </c>
      <c r="F231" s="78" t="s">
        <v>848</v>
      </c>
      <c r="G231" s="28"/>
    </row>
    <row r="232" spans="1:7" x14ac:dyDescent="0.3">
      <c r="A232" s="44">
        <v>231</v>
      </c>
      <c r="B232" s="35" t="s">
        <v>316</v>
      </c>
      <c r="C232" s="34" t="s">
        <v>315</v>
      </c>
      <c r="D232" s="34" t="s">
        <v>782</v>
      </c>
      <c r="E232" s="34" t="str">
        <f>_xlfn.XLOOKUP(Table1[[#This Row],[ID Equipo]],Hoja2!A:A,Hoja2!D:D,"NO SE ENCONTRO",0)</f>
        <v>UPS</v>
      </c>
      <c r="F232" s="54" t="s">
        <v>848</v>
      </c>
      <c r="G232" s="34"/>
    </row>
    <row r="233" spans="1:7" x14ac:dyDescent="0.3">
      <c r="A233" s="44">
        <v>232</v>
      </c>
      <c r="B233" s="29" t="s">
        <v>317</v>
      </c>
      <c r="C233" s="28" t="s">
        <v>318</v>
      </c>
      <c r="D233" s="28" t="s">
        <v>657</v>
      </c>
      <c r="E233" s="28" t="str">
        <f>_xlfn.XLOOKUP(Table1[[#This Row],[ID Equipo]],Hoja2!A:A,Hoja2!D:D,"NO SE ENCONTRO",0)</f>
        <v>COMPUTADORA DE ESCRITORIO</v>
      </c>
      <c r="F233" s="78" t="s">
        <v>848</v>
      </c>
      <c r="G233" s="28"/>
    </row>
    <row r="234" spans="1:7" x14ac:dyDescent="0.3">
      <c r="A234" s="44">
        <v>233</v>
      </c>
      <c r="B234" s="29" t="s">
        <v>319</v>
      </c>
      <c r="C234" s="28" t="s">
        <v>318</v>
      </c>
      <c r="D234" s="28" t="s">
        <v>657</v>
      </c>
      <c r="E234" s="28" t="str">
        <f>_xlfn.XLOOKUP(Table1[[#This Row],[ID Equipo]],Hoja2!A:A,Hoja2!D:D,"NO SE ENCONTRO",0)</f>
        <v>IMPRESORA TERMICA</v>
      </c>
      <c r="F234" s="78" t="s">
        <v>848</v>
      </c>
      <c r="G234" s="28"/>
    </row>
    <row r="235" spans="1:7" x14ac:dyDescent="0.3">
      <c r="A235" s="44">
        <v>234</v>
      </c>
      <c r="B235" s="29" t="s">
        <v>320</v>
      </c>
      <c r="C235" s="28" t="s">
        <v>318</v>
      </c>
      <c r="D235" s="28" t="s">
        <v>657</v>
      </c>
      <c r="E235" s="28" t="str">
        <f>_xlfn.XLOOKUP(Table1[[#This Row],[ID Equipo]],Hoja2!A:A,Hoja2!D:D,"NO SE ENCONTRO",0)</f>
        <v>UPS</v>
      </c>
      <c r="F235" s="78" t="s">
        <v>848</v>
      </c>
      <c r="G235" s="28"/>
    </row>
    <row r="236" spans="1:7" x14ac:dyDescent="0.3">
      <c r="A236" s="44">
        <v>235</v>
      </c>
      <c r="B236" s="29" t="s">
        <v>321</v>
      </c>
      <c r="C236" s="28" t="s">
        <v>323</v>
      </c>
      <c r="D236" s="28" t="s">
        <v>657</v>
      </c>
      <c r="E236" s="28" t="str">
        <f>_xlfn.XLOOKUP(Table1[[#This Row],[ID Equipo]],Hoja2!A:A,Hoja2!D:D,"NO SE ENCONTRO",0)</f>
        <v>COMPUTADORA DE ESCRITORIO</v>
      </c>
      <c r="F236" s="78" t="s">
        <v>848</v>
      </c>
      <c r="G236" s="28"/>
    </row>
    <row r="237" spans="1:7" x14ac:dyDescent="0.3">
      <c r="A237" s="44">
        <v>236</v>
      </c>
      <c r="B237" s="29" t="s">
        <v>322</v>
      </c>
      <c r="C237" s="28" t="s">
        <v>323</v>
      </c>
      <c r="D237" s="28" t="s">
        <v>657</v>
      </c>
      <c r="E237" s="28" t="str">
        <f>_xlfn.XLOOKUP(Table1[[#This Row],[ID Equipo]],Hoja2!A:A,Hoja2!D:D,"NO SE ENCONTRO",0)</f>
        <v>IMPRESORA TERMICA</v>
      </c>
      <c r="F237" s="78" t="s">
        <v>848</v>
      </c>
      <c r="G237" s="28"/>
    </row>
    <row r="238" spans="1:7" x14ac:dyDescent="0.3">
      <c r="A238" s="44">
        <v>237</v>
      </c>
      <c r="B238" s="29" t="s">
        <v>324</v>
      </c>
      <c r="C238" s="28" t="s">
        <v>323</v>
      </c>
      <c r="D238" s="28" t="s">
        <v>657</v>
      </c>
      <c r="E238" s="28" t="str">
        <f>_xlfn.XLOOKUP(Table1[[#This Row],[ID Equipo]],Hoja2!A:A,Hoja2!D:D,"NO SE ENCONTRO",0)</f>
        <v>UPS</v>
      </c>
      <c r="F238" s="78" t="s">
        <v>848</v>
      </c>
      <c r="G238" s="28"/>
    </row>
    <row r="239" spans="1:7" x14ac:dyDescent="0.3">
      <c r="A239" s="44">
        <v>238</v>
      </c>
      <c r="B239" s="29" t="s">
        <v>325</v>
      </c>
      <c r="C239" s="28" t="s">
        <v>326</v>
      </c>
      <c r="D239" s="28" t="s">
        <v>657</v>
      </c>
      <c r="E239" s="28" t="str">
        <f>_xlfn.XLOOKUP(Table1[[#This Row],[ID Equipo]],Hoja2!A:A,Hoja2!D:D,"NO SE ENCONTRO",0)</f>
        <v>COMPUTADORA DE ESCRITORIO</v>
      </c>
      <c r="F239" s="78" t="s">
        <v>848</v>
      </c>
      <c r="G239" s="28"/>
    </row>
    <row r="240" spans="1:7" x14ac:dyDescent="0.3">
      <c r="A240" s="44">
        <v>239</v>
      </c>
      <c r="B240" s="29" t="s">
        <v>327</v>
      </c>
      <c r="C240" s="28" t="s">
        <v>326</v>
      </c>
      <c r="D240" s="28" t="s">
        <v>657</v>
      </c>
      <c r="E240" s="28" t="str">
        <f>_xlfn.XLOOKUP(Table1[[#This Row],[ID Equipo]],Hoja2!A:A,Hoja2!D:D,"NO SE ENCONTRO",0)</f>
        <v>IMPRESORA TERMICA</v>
      </c>
      <c r="F240" s="78" t="s">
        <v>848</v>
      </c>
      <c r="G240" s="28"/>
    </row>
    <row r="241" spans="1:7" x14ac:dyDescent="0.3">
      <c r="A241" s="44">
        <v>240</v>
      </c>
      <c r="B241" s="29" t="s">
        <v>328</v>
      </c>
      <c r="C241" s="28" t="s">
        <v>326</v>
      </c>
      <c r="D241" s="28" t="s">
        <v>657</v>
      </c>
      <c r="E241" s="28" t="str">
        <f>_xlfn.XLOOKUP(Table1[[#This Row],[ID Equipo]],Hoja2!A:A,Hoja2!D:D,"NO SE ENCONTRO",0)</f>
        <v>UPS</v>
      </c>
      <c r="F241" s="78" t="s">
        <v>848</v>
      </c>
      <c r="G241" s="28"/>
    </row>
    <row r="242" spans="1:7" x14ac:dyDescent="0.3">
      <c r="A242" s="44">
        <v>241</v>
      </c>
      <c r="B242" s="45" t="s">
        <v>413</v>
      </c>
      <c r="C242" s="44" t="s">
        <v>412</v>
      </c>
      <c r="D242" s="44" t="s">
        <v>651</v>
      </c>
      <c r="E242" s="44" t="str">
        <f>_xlfn.XLOOKUP(Table1[[#This Row],[ID Equipo]],Hoja2!A:A,Hoja2!D:D,"NO SE ENCONTRO",0)</f>
        <v>COMPUTADORA DE ESCRITORIO</v>
      </c>
      <c r="F242" s="76" t="s">
        <v>848</v>
      </c>
      <c r="G242" s="44"/>
    </row>
    <row r="243" spans="1:7" x14ac:dyDescent="0.3">
      <c r="A243" s="44">
        <v>242</v>
      </c>
      <c r="B243" s="45" t="s">
        <v>414</v>
      </c>
      <c r="C243" s="44" t="s">
        <v>412</v>
      </c>
      <c r="D243" s="44" t="s">
        <v>651</v>
      </c>
      <c r="E243" s="44" t="str">
        <f>_xlfn.XLOOKUP(Table1[[#This Row],[ID Equipo]],Hoja2!A:A,Hoja2!D:D,"NO SE ENCONTRO",0)</f>
        <v>UPS</v>
      </c>
      <c r="F243" s="76" t="s">
        <v>848</v>
      </c>
      <c r="G243" s="44"/>
    </row>
    <row r="244" spans="1:7" x14ac:dyDescent="0.3">
      <c r="A244" s="44">
        <v>243</v>
      </c>
      <c r="B244" s="29" t="s">
        <v>604</v>
      </c>
      <c r="C244" s="28" t="s">
        <v>329</v>
      </c>
      <c r="D244" s="28" t="s">
        <v>657</v>
      </c>
      <c r="E244" s="28" t="s">
        <v>770</v>
      </c>
      <c r="F244" s="78" t="s">
        <v>848</v>
      </c>
      <c r="G244" s="28"/>
    </row>
    <row r="245" spans="1:7" x14ac:dyDescent="0.3">
      <c r="A245" s="44">
        <v>244</v>
      </c>
      <c r="B245" s="29" t="s">
        <v>330</v>
      </c>
      <c r="C245" s="28" t="s">
        <v>329</v>
      </c>
      <c r="D245" s="28" t="s">
        <v>657</v>
      </c>
      <c r="E245" s="28" t="str">
        <f>_xlfn.XLOOKUP(Table1[[#This Row],[ID Equipo]],Hoja2!A:A,Hoja2!D:D,"NO SE ENCONTRO",0)</f>
        <v>IMPRESORA TERMICA</v>
      </c>
      <c r="F245" s="78" t="s">
        <v>848</v>
      </c>
      <c r="G245" s="28"/>
    </row>
    <row r="246" spans="1:7" x14ac:dyDescent="0.3">
      <c r="A246" s="44">
        <v>245</v>
      </c>
      <c r="B246" s="29" t="s">
        <v>331</v>
      </c>
      <c r="C246" s="28" t="s">
        <v>329</v>
      </c>
      <c r="D246" s="28" t="s">
        <v>657</v>
      </c>
      <c r="E246" s="28" t="str">
        <f>_xlfn.XLOOKUP(Table1[[#This Row],[ID Equipo]],Hoja2!A:A,Hoja2!D:D,"NO SE ENCONTRO",0)</f>
        <v>UPS</v>
      </c>
      <c r="F246" s="78" t="s">
        <v>848</v>
      </c>
      <c r="G246" s="28"/>
    </row>
    <row r="247" spans="1:7" x14ac:dyDescent="0.3">
      <c r="A247" s="44">
        <v>246</v>
      </c>
      <c r="B247" s="29" t="s">
        <v>332</v>
      </c>
      <c r="C247" s="28" t="s">
        <v>333</v>
      </c>
      <c r="D247" s="28" t="s">
        <v>657</v>
      </c>
      <c r="E247" s="28" t="str">
        <f>_xlfn.XLOOKUP(Table1[[#This Row],[ID Equipo]],Hoja2!A:A,Hoja2!D:D,"NO SE ENCONTRO",0)</f>
        <v>COMPUTADORA DE ESCRITORIO</v>
      </c>
      <c r="F247" s="78" t="s">
        <v>848</v>
      </c>
      <c r="G247" s="28"/>
    </row>
    <row r="248" spans="1:7" x14ac:dyDescent="0.3">
      <c r="A248" s="44">
        <v>247</v>
      </c>
      <c r="B248" s="29" t="s">
        <v>538</v>
      </c>
      <c r="C248" s="28" t="s">
        <v>333</v>
      </c>
      <c r="D248" s="28" t="s">
        <v>657</v>
      </c>
      <c r="E248" s="28" t="str">
        <f>_xlfn.XLOOKUP(Table1[[#This Row],[ID Equipo]],Hoja2!A:A,Hoja2!D:D,"NO SE ENCONTRO",0)</f>
        <v>IMPRESORA TERMICA</v>
      </c>
      <c r="F248" s="78" t="s">
        <v>848</v>
      </c>
      <c r="G248" s="28"/>
    </row>
    <row r="249" spans="1:7" x14ac:dyDescent="0.3">
      <c r="A249" s="44">
        <v>248</v>
      </c>
      <c r="B249" s="29" t="s">
        <v>335</v>
      </c>
      <c r="C249" s="28" t="s">
        <v>333</v>
      </c>
      <c r="D249" s="28" t="s">
        <v>657</v>
      </c>
      <c r="E249" s="28" t="str">
        <f>_xlfn.XLOOKUP(Table1[[#This Row],[ID Equipo]],Hoja2!A:A,Hoja2!D:D,"NO SE ENCONTRO",0)</f>
        <v>UPS</v>
      </c>
      <c r="F249" s="78" t="s">
        <v>848</v>
      </c>
      <c r="G249" s="28"/>
    </row>
    <row r="250" spans="1:7" x14ac:dyDescent="0.3">
      <c r="A250" s="44">
        <v>249</v>
      </c>
      <c r="B250" s="29" t="s">
        <v>336</v>
      </c>
      <c r="C250" s="28" t="s">
        <v>337</v>
      </c>
      <c r="D250" s="28" t="s">
        <v>657</v>
      </c>
      <c r="E250" s="28" t="str">
        <f>_xlfn.XLOOKUP(Table1[[#This Row],[ID Equipo]],Hoja2!A:A,Hoja2!D:D,"NO SE ENCONTRO",0)</f>
        <v>COMPUTADORA DE ESCRITORIO</v>
      </c>
      <c r="F250" s="78" t="s">
        <v>848</v>
      </c>
      <c r="G250" s="28"/>
    </row>
    <row r="251" spans="1:7" x14ac:dyDescent="0.3">
      <c r="A251" s="44">
        <v>250</v>
      </c>
      <c r="B251" s="29" t="s">
        <v>334</v>
      </c>
      <c r="C251" s="28" t="s">
        <v>337</v>
      </c>
      <c r="D251" s="28" t="s">
        <v>657</v>
      </c>
      <c r="E251" s="28" t="str">
        <f>_xlfn.XLOOKUP(Table1[[#This Row],[ID Equipo]],Hoja2!A:A,Hoja2!D:D,"NO SE ENCONTRO",0)</f>
        <v>IMPRESORA TERMICA</v>
      </c>
      <c r="F251" s="78" t="s">
        <v>848</v>
      </c>
      <c r="G251" s="28"/>
    </row>
    <row r="252" spans="1:7" x14ac:dyDescent="0.3">
      <c r="A252" s="44">
        <v>251</v>
      </c>
      <c r="B252" s="29" t="s">
        <v>338</v>
      </c>
      <c r="C252" s="28" t="s">
        <v>337</v>
      </c>
      <c r="D252" s="28" t="s">
        <v>657</v>
      </c>
      <c r="E252" s="28" t="str">
        <f>_xlfn.XLOOKUP(Table1[[#This Row],[ID Equipo]],Hoja2!A:A,Hoja2!D:D,"NO SE ENCONTRO",0)</f>
        <v>UPS</v>
      </c>
      <c r="F252" s="78" t="s">
        <v>848</v>
      </c>
      <c r="G252" s="28"/>
    </row>
    <row r="253" spans="1:7" x14ac:dyDescent="0.3">
      <c r="A253" s="44">
        <v>252</v>
      </c>
      <c r="B253" s="29" t="s">
        <v>339</v>
      </c>
      <c r="C253" s="28" t="s">
        <v>340</v>
      </c>
      <c r="D253" s="28" t="s">
        <v>657</v>
      </c>
      <c r="E253" s="28" t="str">
        <f>_xlfn.XLOOKUP(Table1[[#This Row],[ID Equipo]],Hoja2!A:A,Hoja2!D:D,"NO SE ENCONTRO",0)</f>
        <v>COMPUTADORA DE ESCRITORIO</v>
      </c>
      <c r="F253" s="78" t="s">
        <v>848</v>
      </c>
      <c r="G253" s="28"/>
    </row>
    <row r="254" spans="1:7" x14ac:dyDescent="0.3">
      <c r="A254" s="44">
        <v>253</v>
      </c>
      <c r="B254" s="29" t="s">
        <v>341</v>
      </c>
      <c r="C254" s="28" t="s">
        <v>340</v>
      </c>
      <c r="D254" s="28" t="s">
        <v>657</v>
      </c>
      <c r="E254" s="28" t="str">
        <f>_xlfn.XLOOKUP(Table1[[#This Row],[ID Equipo]],Hoja2!A:A,Hoja2!D:D,"NO SE ENCONTRO",0)</f>
        <v>IMPRESORA TERMICA</v>
      </c>
      <c r="F254" s="78" t="s">
        <v>848</v>
      </c>
      <c r="G254" s="28"/>
    </row>
    <row r="255" spans="1:7" x14ac:dyDescent="0.3">
      <c r="A255" s="44">
        <v>254</v>
      </c>
      <c r="B255" s="29" t="s">
        <v>342</v>
      </c>
      <c r="C255" s="28" t="s">
        <v>340</v>
      </c>
      <c r="D255" s="28" t="s">
        <v>657</v>
      </c>
      <c r="E255" s="28" t="str">
        <f>_xlfn.XLOOKUP(Table1[[#This Row],[ID Equipo]],Hoja2!A:A,Hoja2!D:D,"NO SE ENCONTRO",0)</f>
        <v>UPS</v>
      </c>
      <c r="F255" s="78" t="s">
        <v>848</v>
      </c>
      <c r="G255" s="28"/>
    </row>
    <row r="256" spans="1:7" x14ac:dyDescent="0.3">
      <c r="A256" s="44">
        <v>255</v>
      </c>
      <c r="B256" s="29" t="s">
        <v>343</v>
      </c>
      <c r="C256" s="28" t="s">
        <v>344</v>
      </c>
      <c r="D256" s="28" t="s">
        <v>657</v>
      </c>
      <c r="E256" s="28" t="str">
        <f>_xlfn.XLOOKUP(Table1[[#This Row],[ID Equipo]],Hoja2!A:A,Hoja2!D:D,"NO SE ENCONTRO",0)</f>
        <v>COMPUTADORA DE ESCRITORIO</v>
      </c>
      <c r="F256" s="78" t="s">
        <v>848</v>
      </c>
      <c r="G256" s="28"/>
    </row>
    <row r="257" spans="1:7" x14ac:dyDescent="0.3">
      <c r="A257" s="44">
        <v>256</v>
      </c>
      <c r="B257" s="29" t="s">
        <v>345</v>
      </c>
      <c r="C257" s="28" t="s">
        <v>344</v>
      </c>
      <c r="D257" s="28" t="s">
        <v>657</v>
      </c>
      <c r="E257" s="28" t="str">
        <f>_xlfn.XLOOKUP(Table1[[#This Row],[ID Equipo]],Hoja2!A:A,Hoja2!D:D,"NO SE ENCONTRO",0)</f>
        <v>IMPRESORA TERMICA</v>
      </c>
      <c r="F257" s="78" t="s">
        <v>848</v>
      </c>
      <c r="G257" s="28"/>
    </row>
    <row r="258" spans="1:7" x14ac:dyDescent="0.3">
      <c r="A258" s="44">
        <v>257</v>
      </c>
      <c r="B258" s="29" t="s">
        <v>346</v>
      </c>
      <c r="C258" s="28" t="s">
        <v>344</v>
      </c>
      <c r="D258" s="28" t="s">
        <v>657</v>
      </c>
      <c r="E258" s="28" t="str">
        <f>_xlfn.XLOOKUP(Table1[[#This Row],[ID Equipo]],Hoja2!A:A,Hoja2!D:D,"NO SE ENCONTRO",0)</f>
        <v>UPS</v>
      </c>
      <c r="F258" s="78" t="s">
        <v>848</v>
      </c>
      <c r="G258" s="28"/>
    </row>
    <row r="259" spans="1:7" x14ac:dyDescent="0.3">
      <c r="A259" s="44">
        <v>258</v>
      </c>
      <c r="B259" s="29" t="s">
        <v>347</v>
      </c>
      <c r="C259" s="28" t="s">
        <v>348</v>
      </c>
      <c r="D259" s="28" t="s">
        <v>657</v>
      </c>
      <c r="E259" s="28" t="str">
        <f>_xlfn.XLOOKUP(Table1[[#This Row],[ID Equipo]],Hoja2!A:A,Hoja2!D:D,"NO SE ENCONTRO",0)</f>
        <v>COMPUTADORA DE ESCRITORIO</v>
      </c>
      <c r="F259" s="78" t="s">
        <v>848</v>
      </c>
      <c r="G259" s="28"/>
    </row>
    <row r="260" spans="1:7" x14ac:dyDescent="0.3">
      <c r="A260" s="44">
        <v>259</v>
      </c>
      <c r="B260" s="29" t="s">
        <v>349</v>
      </c>
      <c r="C260" s="28" t="s">
        <v>348</v>
      </c>
      <c r="D260" s="28" t="s">
        <v>657</v>
      </c>
      <c r="E260" s="28" t="str">
        <f>_xlfn.XLOOKUP(Table1[[#This Row],[ID Equipo]],Hoja2!A:A,Hoja2!D:D,"NO SE ENCONTRO",0)</f>
        <v>IMPRESORA TERMICA</v>
      </c>
      <c r="F260" s="78" t="s">
        <v>848</v>
      </c>
      <c r="G260" s="28"/>
    </row>
    <row r="261" spans="1:7" x14ac:dyDescent="0.3">
      <c r="A261" s="44">
        <v>260</v>
      </c>
      <c r="B261" s="29" t="s">
        <v>350</v>
      </c>
      <c r="C261" s="28" t="s">
        <v>348</v>
      </c>
      <c r="D261" s="28" t="s">
        <v>657</v>
      </c>
      <c r="E261" s="28" t="str">
        <f>_xlfn.XLOOKUP(Table1[[#This Row],[ID Equipo]],Hoja2!A:A,Hoja2!D:D,"NO SE ENCONTRO",0)</f>
        <v>UPS</v>
      </c>
      <c r="F261" s="78" t="s">
        <v>848</v>
      </c>
      <c r="G261" s="28"/>
    </row>
    <row r="262" spans="1:7" x14ac:dyDescent="0.3">
      <c r="A262" s="44">
        <v>261</v>
      </c>
      <c r="B262" s="29" t="s">
        <v>353</v>
      </c>
      <c r="C262" s="28" t="s">
        <v>351</v>
      </c>
      <c r="D262" s="28" t="s">
        <v>657</v>
      </c>
      <c r="E262" s="28" t="str">
        <f>_xlfn.XLOOKUP(Table1[[#This Row],[ID Equipo]],Hoja2!A:A,Hoja2!D:D,"NO SE ENCONTRO",0)</f>
        <v>COMPUTADORA DE ESCRITORIO</v>
      </c>
      <c r="F262" s="78" t="s">
        <v>848</v>
      </c>
      <c r="G262" s="28"/>
    </row>
    <row r="263" spans="1:7" x14ac:dyDescent="0.3">
      <c r="A263" s="44">
        <v>262</v>
      </c>
      <c r="B263" s="29" t="s">
        <v>352</v>
      </c>
      <c r="C263" s="28" t="s">
        <v>351</v>
      </c>
      <c r="D263" s="28" t="s">
        <v>657</v>
      </c>
      <c r="E263" s="28" t="str">
        <f>_xlfn.XLOOKUP(Table1[[#This Row],[ID Equipo]],Hoja2!A:A,Hoja2!D:D,"NO SE ENCONTRO",0)</f>
        <v>IMPRESORA TERMICA</v>
      </c>
      <c r="F263" s="78" t="s">
        <v>848</v>
      </c>
      <c r="G263" s="28"/>
    </row>
    <row r="264" spans="1:7" x14ac:dyDescent="0.3">
      <c r="A264" s="44">
        <v>263</v>
      </c>
      <c r="B264" s="29" t="s">
        <v>354</v>
      </c>
      <c r="C264" s="28" t="s">
        <v>351</v>
      </c>
      <c r="D264" s="28" t="s">
        <v>657</v>
      </c>
      <c r="E264" s="28" t="str">
        <f>_xlfn.XLOOKUP(Table1[[#This Row],[ID Equipo]],Hoja2!A:A,Hoja2!D:D,"NO SE ENCONTRO",0)</f>
        <v>UPS</v>
      </c>
      <c r="F264" s="78" t="s">
        <v>848</v>
      </c>
      <c r="G264" s="28"/>
    </row>
    <row r="265" spans="1:7" x14ac:dyDescent="0.3">
      <c r="A265" s="44">
        <v>264</v>
      </c>
      <c r="B265" s="29" t="s">
        <v>606</v>
      </c>
      <c r="C265" s="28" t="s">
        <v>355</v>
      </c>
      <c r="D265" s="28" t="s">
        <v>657</v>
      </c>
      <c r="E265" s="28" t="s">
        <v>770</v>
      </c>
      <c r="F265" s="78" t="s">
        <v>848</v>
      </c>
      <c r="G265" s="28"/>
    </row>
    <row r="266" spans="1:7" x14ac:dyDescent="0.3">
      <c r="A266" s="44">
        <v>265</v>
      </c>
      <c r="B266" s="29" t="s">
        <v>356</v>
      </c>
      <c r="C266" s="28" t="s">
        <v>355</v>
      </c>
      <c r="D266" s="28" t="s">
        <v>657</v>
      </c>
      <c r="E266" s="28" t="str">
        <f>_xlfn.XLOOKUP(Table1[[#This Row],[ID Equipo]],Hoja2!A:A,Hoja2!D:D,"NO SE ENCONTRO",0)</f>
        <v>IMPRESORA TERMICA</v>
      </c>
      <c r="F266" s="78" t="s">
        <v>848</v>
      </c>
      <c r="G266" s="28"/>
    </row>
    <row r="267" spans="1:7" x14ac:dyDescent="0.3">
      <c r="A267" s="44">
        <v>266</v>
      </c>
      <c r="B267" s="29" t="s">
        <v>357</v>
      </c>
      <c r="C267" s="28" t="s">
        <v>355</v>
      </c>
      <c r="D267" s="28" t="s">
        <v>657</v>
      </c>
      <c r="E267" s="28" t="str">
        <f>_xlfn.XLOOKUP(Table1[[#This Row],[ID Equipo]],Hoja2!A:A,Hoja2!D:D,"NO SE ENCONTRO",0)</f>
        <v>UPS</v>
      </c>
      <c r="F267" s="78" t="s">
        <v>848</v>
      </c>
      <c r="G267" s="28"/>
    </row>
    <row r="268" spans="1:7" x14ac:dyDescent="0.3">
      <c r="A268" s="44">
        <v>267</v>
      </c>
      <c r="B268" s="29" t="s">
        <v>358</v>
      </c>
      <c r="C268" s="28" t="s">
        <v>359</v>
      </c>
      <c r="D268" s="28" t="s">
        <v>657</v>
      </c>
      <c r="E268" s="28" t="str">
        <f>_xlfn.XLOOKUP(Table1[[#This Row],[ID Equipo]],Hoja2!A:A,Hoja2!D:D,"NO SE ENCONTRO",0)</f>
        <v>COMPUTADORA DE ESCRITORIO</v>
      </c>
      <c r="F268" s="78" t="s">
        <v>848</v>
      </c>
      <c r="G268" s="28"/>
    </row>
    <row r="269" spans="1:7" x14ac:dyDescent="0.3">
      <c r="A269" s="44">
        <v>268</v>
      </c>
      <c r="B269" s="29" t="s">
        <v>595</v>
      </c>
      <c r="C269" s="28" t="s">
        <v>359</v>
      </c>
      <c r="D269" s="28" t="s">
        <v>657</v>
      </c>
      <c r="E269" s="28" t="str">
        <f>_xlfn.XLOOKUP(Table1[[#This Row],[ID Equipo]],Hoja2!A:A,Hoja2!D:D,"NO SE ENCONTRO",0)</f>
        <v>IMPRESORA TERMICA</v>
      </c>
      <c r="F269" s="78" t="s">
        <v>848</v>
      </c>
      <c r="G269" s="28"/>
    </row>
    <row r="270" spans="1:7" x14ac:dyDescent="0.3">
      <c r="A270" s="44">
        <v>269</v>
      </c>
      <c r="B270" s="29" t="s">
        <v>361</v>
      </c>
      <c r="C270" s="28" t="s">
        <v>359</v>
      </c>
      <c r="D270" s="28" t="s">
        <v>657</v>
      </c>
      <c r="E270" s="28" t="str">
        <f>_xlfn.XLOOKUP(Table1[[#This Row],[ID Equipo]],Hoja2!A:A,Hoja2!D:D,"NO SE ENCONTRO",0)</f>
        <v>UPS</v>
      </c>
      <c r="F270" s="78" t="s">
        <v>848</v>
      </c>
      <c r="G270" s="28"/>
    </row>
    <row r="271" spans="1:7" x14ac:dyDescent="0.3">
      <c r="A271" s="44">
        <v>270</v>
      </c>
      <c r="B271" s="29" t="s">
        <v>362</v>
      </c>
      <c r="C271" s="28" t="s">
        <v>363</v>
      </c>
      <c r="D271" s="28" t="s">
        <v>657</v>
      </c>
      <c r="E271" s="28" t="str">
        <f>_xlfn.XLOOKUP(Table1[[#This Row],[ID Equipo]],Hoja2!A:A,Hoja2!D:D,"NO SE ENCONTRO",0)</f>
        <v>COMPUTADORA DE ESCRITORIO</v>
      </c>
      <c r="F271" s="78" t="s">
        <v>848</v>
      </c>
      <c r="G271" s="28"/>
    </row>
    <row r="272" spans="1:7" x14ac:dyDescent="0.3">
      <c r="A272" s="44">
        <v>271</v>
      </c>
      <c r="B272" s="29" t="s">
        <v>364</v>
      </c>
      <c r="C272" s="28" t="s">
        <v>363</v>
      </c>
      <c r="D272" s="28" t="s">
        <v>657</v>
      </c>
      <c r="E272" s="28" t="str">
        <f>_xlfn.XLOOKUP(Table1[[#This Row],[ID Equipo]],Hoja2!A:A,Hoja2!D:D,"NO SE ENCONTRO",0)</f>
        <v>IMPRESORA TERMICA</v>
      </c>
      <c r="F272" s="78" t="s">
        <v>848</v>
      </c>
      <c r="G272" s="28"/>
    </row>
    <row r="273" spans="1:7" x14ac:dyDescent="0.3">
      <c r="A273" s="44">
        <v>272</v>
      </c>
      <c r="B273" s="29" t="s">
        <v>366</v>
      </c>
      <c r="C273" s="28" t="s">
        <v>363</v>
      </c>
      <c r="D273" s="28" t="s">
        <v>657</v>
      </c>
      <c r="E273" s="28" t="str">
        <f>_xlfn.XLOOKUP(Table1[[#This Row],[ID Equipo]],Hoja2!A:A,Hoja2!D:D,"NO SE ENCONTRO",0)</f>
        <v>UPS</v>
      </c>
      <c r="F273" s="78" t="s">
        <v>848</v>
      </c>
      <c r="G273" s="28"/>
    </row>
    <row r="274" spans="1:7" x14ac:dyDescent="0.3">
      <c r="A274" s="44">
        <v>273</v>
      </c>
      <c r="B274" s="29" t="s">
        <v>367</v>
      </c>
      <c r="C274" s="28" t="s">
        <v>369</v>
      </c>
      <c r="D274" s="28" t="s">
        <v>657</v>
      </c>
      <c r="E274" s="28" t="str">
        <f>_xlfn.XLOOKUP(Table1[[#This Row],[ID Equipo]],Hoja2!A:A,Hoja2!D:D,"NO SE ENCONTRO",0)</f>
        <v>COMPUTADORA DE ESCRITORIO</v>
      </c>
      <c r="F274" s="78" t="s">
        <v>848</v>
      </c>
      <c r="G274" s="28"/>
    </row>
    <row r="275" spans="1:7" x14ac:dyDescent="0.3">
      <c r="A275" s="44">
        <v>274</v>
      </c>
      <c r="B275" s="29" t="s">
        <v>368</v>
      </c>
      <c r="C275" s="28" t="s">
        <v>369</v>
      </c>
      <c r="D275" s="28" t="s">
        <v>657</v>
      </c>
      <c r="E275" s="28" t="str">
        <f>_xlfn.XLOOKUP(Table1[[#This Row],[ID Equipo]],Hoja2!A:A,Hoja2!D:D,"NO SE ENCONTRO",0)</f>
        <v>IMPRESORA TERMICA</v>
      </c>
      <c r="F275" s="78" t="s">
        <v>848</v>
      </c>
      <c r="G275" s="28"/>
    </row>
    <row r="276" spans="1:7" x14ac:dyDescent="0.3">
      <c r="A276" s="44">
        <v>275</v>
      </c>
      <c r="B276" s="29" t="s">
        <v>365</v>
      </c>
      <c r="C276" s="28" t="s">
        <v>369</v>
      </c>
      <c r="D276" s="28" t="s">
        <v>657</v>
      </c>
      <c r="E276" s="28" t="str">
        <f>_xlfn.XLOOKUP(Table1[[#This Row],[ID Equipo]],Hoja2!A:A,Hoja2!D:D,"NO SE ENCONTRO",0)</f>
        <v>UPS</v>
      </c>
      <c r="F276" s="78" t="s">
        <v>848</v>
      </c>
      <c r="G276" s="28"/>
    </row>
    <row r="277" spans="1:7" x14ac:dyDescent="0.3">
      <c r="A277" s="44">
        <v>276</v>
      </c>
      <c r="B277" s="29" t="s">
        <v>370</v>
      </c>
      <c r="C277" s="28" t="s">
        <v>371</v>
      </c>
      <c r="D277" s="28" t="s">
        <v>657</v>
      </c>
      <c r="E277" s="28" t="str">
        <f>_xlfn.XLOOKUP(Table1[[#This Row],[ID Equipo]],Hoja2!A:A,Hoja2!D:D,"NO SE ENCONTRO",0)</f>
        <v>COMPUTADORA DE ESCRITORIO</v>
      </c>
      <c r="F277" s="78" t="s">
        <v>848</v>
      </c>
      <c r="G277" s="28"/>
    </row>
    <row r="278" spans="1:7" x14ac:dyDescent="0.3">
      <c r="A278" s="44">
        <v>277</v>
      </c>
      <c r="B278" s="29" t="s">
        <v>372</v>
      </c>
      <c r="C278" s="28" t="s">
        <v>371</v>
      </c>
      <c r="D278" s="28" t="s">
        <v>657</v>
      </c>
      <c r="E278" s="28" t="str">
        <f>_xlfn.XLOOKUP(Table1[[#This Row],[ID Equipo]],Hoja2!A:A,Hoja2!D:D,"NO SE ENCONTRO",0)</f>
        <v>IMPRESORA TERMICA</v>
      </c>
      <c r="F278" s="78" t="s">
        <v>848</v>
      </c>
      <c r="G278" s="28"/>
    </row>
    <row r="279" spans="1:7" x14ac:dyDescent="0.3">
      <c r="A279" s="44">
        <v>278</v>
      </c>
      <c r="B279" s="29" t="s">
        <v>373</v>
      </c>
      <c r="C279" s="28" t="s">
        <v>371</v>
      </c>
      <c r="D279" s="28" t="s">
        <v>657</v>
      </c>
      <c r="E279" s="28" t="str">
        <f>_xlfn.XLOOKUP(Table1[[#This Row],[ID Equipo]],Hoja2!A:A,Hoja2!D:D,"NO SE ENCONTRO",0)</f>
        <v>UPS</v>
      </c>
      <c r="F279" s="78" t="s">
        <v>848</v>
      </c>
      <c r="G279" s="28"/>
    </row>
    <row r="280" spans="1:7" x14ac:dyDescent="0.3">
      <c r="A280" s="44">
        <v>279</v>
      </c>
      <c r="B280" s="29" t="s">
        <v>374</v>
      </c>
      <c r="C280" s="28" t="s">
        <v>375</v>
      </c>
      <c r="D280" s="28" t="s">
        <v>657</v>
      </c>
      <c r="E280" s="28" t="str">
        <f>_xlfn.XLOOKUP(Table1[[#This Row],[ID Equipo]],Hoja2!A:A,Hoja2!D:D,"NO SE ENCONTRO",0)</f>
        <v>COMPUTADORA DE ESCRITORIO</v>
      </c>
      <c r="F280" s="78" t="s">
        <v>848</v>
      </c>
      <c r="G280" s="28"/>
    </row>
    <row r="281" spans="1:7" x14ac:dyDescent="0.3">
      <c r="A281" s="44">
        <v>280</v>
      </c>
      <c r="B281" s="29" t="s">
        <v>376</v>
      </c>
      <c r="C281" s="28" t="s">
        <v>375</v>
      </c>
      <c r="D281" s="28" t="s">
        <v>657</v>
      </c>
      <c r="E281" s="28" t="str">
        <f>_xlfn.XLOOKUP(Table1[[#This Row],[ID Equipo]],Hoja2!A:A,Hoja2!D:D,"NO SE ENCONTRO",0)</f>
        <v>IMPRESORA TERMICA</v>
      </c>
      <c r="F281" s="78" t="s">
        <v>848</v>
      </c>
      <c r="G281" s="28"/>
    </row>
    <row r="282" spans="1:7" x14ac:dyDescent="0.3">
      <c r="A282" s="44">
        <v>281</v>
      </c>
      <c r="B282" s="29" t="s">
        <v>377</v>
      </c>
      <c r="C282" s="28" t="s">
        <v>375</v>
      </c>
      <c r="D282" s="28" t="s">
        <v>657</v>
      </c>
      <c r="E282" s="28" t="str">
        <f>_xlfn.XLOOKUP(Table1[[#This Row],[ID Equipo]],Hoja2!A:A,Hoja2!D:D,"NO SE ENCONTRO",0)</f>
        <v>UPS</v>
      </c>
      <c r="F282" s="78" t="s">
        <v>848</v>
      </c>
      <c r="G282" s="28"/>
    </row>
    <row r="283" spans="1:7" x14ac:dyDescent="0.3">
      <c r="A283" s="44">
        <v>282</v>
      </c>
      <c r="B283" s="35" t="s">
        <v>378</v>
      </c>
      <c r="C283" s="34" t="s">
        <v>379</v>
      </c>
      <c r="D283" s="34" t="s">
        <v>782</v>
      </c>
      <c r="E283" s="34" t="str">
        <f>_xlfn.XLOOKUP(Table1[[#This Row],[ID Equipo]],Hoja2!A:A,Hoja2!D:D,"NO SE ENCONTRO",0)</f>
        <v>UPS</v>
      </c>
      <c r="F283" s="54" t="s">
        <v>848</v>
      </c>
      <c r="G283" s="34"/>
    </row>
    <row r="284" spans="1:7" x14ac:dyDescent="0.3">
      <c r="A284" s="44">
        <v>283</v>
      </c>
      <c r="B284" s="35" t="s">
        <v>380</v>
      </c>
      <c r="C284" s="34" t="s">
        <v>381</v>
      </c>
      <c r="D284" s="34" t="s">
        <v>782</v>
      </c>
      <c r="E284" s="34" t="s">
        <v>771</v>
      </c>
      <c r="F284" s="54" t="s">
        <v>848</v>
      </c>
      <c r="G284" s="34"/>
    </row>
    <row r="285" spans="1:7" x14ac:dyDescent="0.3">
      <c r="A285" s="44">
        <v>284</v>
      </c>
      <c r="B285" s="29" t="s">
        <v>382</v>
      </c>
      <c r="C285" s="28" t="s">
        <v>383</v>
      </c>
      <c r="D285" s="28" t="s">
        <v>657</v>
      </c>
      <c r="E285" s="28" t="str">
        <f>_xlfn.XLOOKUP(Table1[[#This Row],[ID Equipo]],Hoja2!A:A,Hoja2!D:D,"NO SE ENCONTRO",0)</f>
        <v>COMPUTADORA DE ESCRITORIO</v>
      </c>
      <c r="F285" s="78" t="s">
        <v>848</v>
      </c>
      <c r="G285" s="28"/>
    </row>
    <row r="286" spans="1:7" x14ac:dyDescent="0.3">
      <c r="A286" s="44">
        <v>285</v>
      </c>
      <c r="B286" s="29" t="s">
        <v>384</v>
      </c>
      <c r="C286" s="28" t="s">
        <v>383</v>
      </c>
      <c r="D286" s="28" t="s">
        <v>657</v>
      </c>
      <c r="E286" s="28" t="str">
        <f>_xlfn.XLOOKUP(Table1[[#This Row],[ID Equipo]],Hoja2!A:A,Hoja2!D:D,"NO SE ENCONTRO",0)</f>
        <v>IMPRESORA TERMICA</v>
      </c>
      <c r="F286" s="78" t="s">
        <v>848</v>
      </c>
      <c r="G286" s="28"/>
    </row>
    <row r="287" spans="1:7" x14ac:dyDescent="0.3">
      <c r="A287" s="44">
        <v>286</v>
      </c>
      <c r="B287" s="29" t="s">
        <v>385</v>
      </c>
      <c r="C287" s="28" t="s">
        <v>383</v>
      </c>
      <c r="D287" s="28" t="s">
        <v>657</v>
      </c>
      <c r="E287" s="28" t="str">
        <f>_xlfn.XLOOKUP(Table1[[#This Row],[ID Equipo]],Hoja2!A:A,Hoja2!D:D,"NO SE ENCONTRO",0)</f>
        <v>UPS</v>
      </c>
      <c r="F287" s="78" t="s">
        <v>848</v>
      </c>
      <c r="G287" s="28" t="s">
        <v>617</v>
      </c>
    </row>
    <row r="288" spans="1:7" x14ac:dyDescent="0.3">
      <c r="A288" s="44">
        <v>287</v>
      </c>
      <c r="B288" s="35" t="s">
        <v>386</v>
      </c>
      <c r="C288" s="34" t="s">
        <v>387</v>
      </c>
      <c r="D288" s="34" t="s">
        <v>782</v>
      </c>
      <c r="E288" s="34" t="str">
        <f>_xlfn.XLOOKUP(Table1[[#This Row],[ID Equipo]],Hoja2!A:A,Hoja2!D:D,"NO SE ENCONTRO",0)</f>
        <v>COMPUTADORA DE ESCRITORIO</v>
      </c>
      <c r="F288" s="54" t="s">
        <v>848</v>
      </c>
      <c r="G288" s="34"/>
    </row>
    <row r="289" spans="1:7" x14ac:dyDescent="0.3">
      <c r="A289" s="44">
        <v>288</v>
      </c>
      <c r="B289" s="35" t="s">
        <v>388</v>
      </c>
      <c r="C289" s="34" t="s">
        <v>389</v>
      </c>
      <c r="D289" s="34" t="s">
        <v>782</v>
      </c>
      <c r="E289" s="34" t="str">
        <f>_xlfn.XLOOKUP(Table1[[#This Row],[ID Equipo]],Hoja2!A:A,Hoja2!D:D,"NO SE ENCONTRO",0)</f>
        <v>UPS</v>
      </c>
      <c r="F289" s="54" t="s">
        <v>848</v>
      </c>
      <c r="G289" s="34"/>
    </row>
    <row r="290" spans="1:7" x14ac:dyDescent="0.3">
      <c r="A290" s="44">
        <v>289</v>
      </c>
      <c r="B290" s="29" t="s">
        <v>546</v>
      </c>
      <c r="C290" s="28" t="s">
        <v>390</v>
      </c>
      <c r="D290" s="28" t="s">
        <v>657</v>
      </c>
      <c r="E290" s="28" t="s">
        <v>770</v>
      </c>
      <c r="F290" s="78" t="s">
        <v>848</v>
      </c>
      <c r="G290" s="28"/>
    </row>
    <row r="291" spans="1:7" x14ac:dyDescent="0.3">
      <c r="A291" s="44">
        <v>290</v>
      </c>
      <c r="B291" s="29" t="s">
        <v>391</v>
      </c>
      <c r="C291" s="28" t="s">
        <v>390</v>
      </c>
      <c r="D291" s="28" t="s">
        <v>657</v>
      </c>
      <c r="E291" s="28" t="str">
        <f>_xlfn.XLOOKUP(Table1[[#This Row],[ID Equipo]],Hoja2!A:A,Hoja2!D:D,"NO SE ENCONTRO",0)</f>
        <v>IMPRESORA TERMICA</v>
      </c>
      <c r="F291" s="78" t="s">
        <v>848</v>
      </c>
      <c r="G291" s="28"/>
    </row>
    <row r="292" spans="1:7" x14ac:dyDescent="0.3">
      <c r="A292" s="44">
        <v>291</v>
      </c>
      <c r="B292" s="29" t="s">
        <v>392</v>
      </c>
      <c r="C292" s="28" t="s">
        <v>390</v>
      </c>
      <c r="D292" s="28" t="s">
        <v>657</v>
      </c>
      <c r="E292" s="28" t="str">
        <f>_xlfn.XLOOKUP(Table1[[#This Row],[ID Equipo]],Hoja2!A:A,Hoja2!D:D,"NO SE ENCONTRO",0)</f>
        <v>UPS</v>
      </c>
      <c r="F292" s="78" t="s">
        <v>848</v>
      </c>
      <c r="G292" s="28"/>
    </row>
    <row r="293" spans="1:7" x14ac:dyDescent="0.3">
      <c r="A293" s="44">
        <v>292</v>
      </c>
      <c r="B293" s="35" t="s">
        <v>393</v>
      </c>
      <c r="C293" s="34" t="s">
        <v>394</v>
      </c>
      <c r="D293" s="34" t="s">
        <v>782</v>
      </c>
      <c r="E293" s="34" t="str">
        <f>_xlfn.XLOOKUP(Table1[[#This Row],[ID Equipo]],Hoja2!A:A,Hoja2!D:D,"NO SE ENCONTRO",0)</f>
        <v>UPS</v>
      </c>
      <c r="F293" s="54" t="s">
        <v>848</v>
      </c>
      <c r="G293" s="34"/>
    </row>
    <row r="294" spans="1:7" x14ac:dyDescent="0.3">
      <c r="A294" s="44">
        <v>293</v>
      </c>
      <c r="B294" s="29" t="s">
        <v>395</v>
      </c>
      <c r="C294" s="28" t="s">
        <v>396</v>
      </c>
      <c r="D294" s="28" t="s">
        <v>657</v>
      </c>
      <c r="E294" s="28" t="str">
        <f>_xlfn.XLOOKUP(Table1[[#This Row],[ID Equipo]],Hoja2!A:A,Hoja2!D:D,"NO SE ENCONTRO",0)</f>
        <v>COMPUTADORA DE ESCRITORIO</v>
      </c>
      <c r="F294" s="78" t="s">
        <v>848</v>
      </c>
      <c r="G294" s="28"/>
    </row>
    <row r="295" spans="1:7" x14ac:dyDescent="0.3">
      <c r="A295" s="44">
        <v>294</v>
      </c>
      <c r="B295" s="29" t="s">
        <v>397</v>
      </c>
      <c r="C295" s="28" t="s">
        <v>396</v>
      </c>
      <c r="D295" s="28" t="s">
        <v>657</v>
      </c>
      <c r="E295" s="28" t="str">
        <f>_xlfn.XLOOKUP(Table1[[#This Row],[ID Equipo]],Hoja2!A:A,Hoja2!D:D,"NO SE ENCONTRO",0)</f>
        <v>IMPRESORA TERMICA</v>
      </c>
      <c r="F295" s="78" t="s">
        <v>848</v>
      </c>
      <c r="G295" s="28"/>
    </row>
    <row r="296" spans="1:7" x14ac:dyDescent="0.3">
      <c r="A296" s="44">
        <v>295</v>
      </c>
      <c r="B296" s="29" t="s">
        <v>398</v>
      </c>
      <c r="C296" s="28" t="s">
        <v>396</v>
      </c>
      <c r="D296" s="28" t="s">
        <v>657</v>
      </c>
      <c r="E296" s="28" t="str">
        <f>_xlfn.XLOOKUP(Table1[[#This Row],[ID Equipo]],Hoja2!A:A,Hoja2!D:D,"NO SE ENCONTRO",0)</f>
        <v>UPS</v>
      </c>
      <c r="F296" s="78" t="s">
        <v>848</v>
      </c>
      <c r="G296" s="28"/>
    </row>
    <row r="297" spans="1:7" x14ac:dyDescent="0.3">
      <c r="A297" s="44">
        <v>296</v>
      </c>
      <c r="B297" s="35" t="s">
        <v>399</v>
      </c>
      <c r="C297" s="34" t="s">
        <v>400</v>
      </c>
      <c r="D297" s="34" t="s">
        <v>782</v>
      </c>
      <c r="E297" s="34" t="str">
        <f>_xlfn.XLOOKUP(Table1[[#This Row],[ID Equipo]],Hoja2!A:A,Hoja2!D:D,"NO SE ENCONTRO",0)</f>
        <v>UPS</v>
      </c>
      <c r="F297" s="54" t="s">
        <v>848</v>
      </c>
      <c r="G297" s="34"/>
    </row>
    <row r="298" spans="1:7" x14ac:dyDescent="0.3">
      <c r="A298" s="44">
        <v>297</v>
      </c>
      <c r="B298" s="29" t="s">
        <v>699</v>
      </c>
      <c r="C298" s="28" t="s">
        <v>401</v>
      </c>
      <c r="D298" s="28" t="s">
        <v>657</v>
      </c>
      <c r="E298" s="28" t="s">
        <v>770</v>
      </c>
      <c r="F298" s="78" t="s">
        <v>848</v>
      </c>
      <c r="G298" s="28"/>
    </row>
    <row r="299" spans="1:7" x14ac:dyDescent="0.3">
      <c r="A299" s="44">
        <v>298</v>
      </c>
      <c r="B299" s="29" t="s">
        <v>402</v>
      </c>
      <c r="C299" s="28" t="s">
        <v>401</v>
      </c>
      <c r="D299" s="28" t="s">
        <v>657</v>
      </c>
      <c r="E299" s="28" t="str">
        <f>_xlfn.XLOOKUP(Table1[[#This Row],[ID Equipo]],Hoja2!A:A,Hoja2!D:D,"NO SE ENCONTRO",0)</f>
        <v>IMPRESORA TERMICA</v>
      </c>
      <c r="F299" s="78" t="s">
        <v>848</v>
      </c>
      <c r="G299" s="28"/>
    </row>
    <row r="300" spans="1:7" x14ac:dyDescent="0.3">
      <c r="A300" s="44">
        <v>299</v>
      </c>
      <c r="B300" s="29" t="s">
        <v>403</v>
      </c>
      <c r="C300" s="28" t="s">
        <v>401</v>
      </c>
      <c r="D300" s="28" t="s">
        <v>657</v>
      </c>
      <c r="E300" s="28" t="str">
        <f>_xlfn.XLOOKUP(Table1[[#This Row],[ID Equipo]],Hoja2!A:A,Hoja2!D:D,"NO SE ENCONTRO",0)</f>
        <v>UPS</v>
      </c>
      <c r="F300" s="78" t="s">
        <v>848</v>
      </c>
      <c r="G300" s="28"/>
    </row>
    <row r="301" spans="1:7" x14ac:dyDescent="0.3">
      <c r="A301" s="44">
        <v>300</v>
      </c>
      <c r="B301" s="29" t="s">
        <v>404</v>
      </c>
      <c r="C301" s="28" t="s">
        <v>405</v>
      </c>
      <c r="D301" s="28" t="s">
        <v>657</v>
      </c>
      <c r="E301" s="28" t="str">
        <f>_xlfn.XLOOKUP(Table1[[#This Row],[ID Equipo]],Hoja2!A:A,Hoja2!D:D,"NO SE ENCONTRO",0)</f>
        <v>COMPUTADORA DE ESCRITORIO</v>
      </c>
      <c r="F301" s="78" t="s">
        <v>848</v>
      </c>
      <c r="G301" s="28"/>
    </row>
    <row r="302" spans="1:7" x14ac:dyDescent="0.3">
      <c r="A302" s="44">
        <v>301</v>
      </c>
      <c r="B302" s="43" t="s">
        <v>406</v>
      </c>
      <c r="C302" s="42" t="s">
        <v>405</v>
      </c>
      <c r="D302" s="28" t="s">
        <v>657</v>
      </c>
      <c r="E302" s="42" t="str">
        <f>_xlfn.XLOOKUP(Table1[[#This Row],[ID Equipo]],Hoja2!A:A,Hoja2!D:D,"NO SE ENCONTRO",0)</f>
        <v>IMPRESORA TERMICA</v>
      </c>
      <c r="F302" s="78" t="s">
        <v>848</v>
      </c>
      <c r="G302" s="42"/>
    </row>
    <row r="303" spans="1:7" x14ac:dyDescent="0.3">
      <c r="A303" s="44">
        <v>302</v>
      </c>
      <c r="B303" s="88" t="s">
        <v>407</v>
      </c>
      <c r="C303" s="28" t="s">
        <v>405</v>
      </c>
      <c r="D303" s="28" t="s">
        <v>657</v>
      </c>
      <c r="E303" s="28" t="str">
        <f>_xlfn.XLOOKUP(Table1[[#This Row],[ID Equipo]],Hoja2!A:A,Hoja2!D:D,"NO SE ENCONTRO",0)</f>
        <v>UPS</v>
      </c>
      <c r="F303" s="78" t="s">
        <v>848</v>
      </c>
      <c r="G303" s="28"/>
    </row>
    <row r="304" spans="1:7" x14ac:dyDescent="0.3">
      <c r="A304" s="44">
        <v>303</v>
      </c>
      <c r="B304" s="49" t="s">
        <v>408</v>
      </c>
      <c r="C304" s="50" t="s">
        <v>409</v>
      </c>
      <c r="D304" s="28" t="s">
        <v>657</v>
      </c>
      <c r="E304" s="50" t="str">
        <f>_xlfn.XLOOKUP(Table1[[#This Row],[ID Equipo]],Hoja2!A:A,Hoja2!D:D,"NO SE ENCONTRO",0)</f>
        <v>COMPUTADORA DE ESCRITORIO</v>
      </c>
      <c r="F304" s="78" t="s">
        <v>848</v>
      </c>
      <c r="G304" s="50"/>
    </row>
    <row r="305" spans="1:7" x14ac:dyDescent="0.3">
      <c r="A305" s="44">
        <v>304</v>
      </c>
      <c r="B305" s="29" t="s">
        <v>410</v>
      </c>
      <c r="C305" s="28" t="s">
        <v>409</v>
      </c>
      <c r="D305" s="28" t="s">
        <v>657</v>
      </c>
      <c r="E305" s="28" t="str">
        <f>_xlfn.XLOOKUP(Table1[[#This Row],[ID Equipo]],Hoja2!A:A,Hoja2!D:D,"NO SE ENCONTRO",0)</f>
        <v>IMPRESORA TERMICA</v>
      </c>
      <c r="F305" s="78" t="s">
        <v>848</v>
      </c>
      <c r="G305" s="28"/>
    </row>
    <row r="306" spans="1:7" x14ac:dyDescent="0.3">
      <c r="A306" s="44">
        <v>305</v>
      </c>
      <c r="B306" s="29" t="s">
        <v>411</v>
      </c>
      <c r="C306" s="28" t="s">
        <v>409</v>
      </c>
      <c r="D306" s="28" t="s">
        <v>657</v>
      </c>
      <c r="E306" s="28" t="str">
        <f>_xlfn.XLOOKUP(Table1[[#This Row],[ID Equipo]],Hoja2!A:A,Hoja2!D:D,"NO SE ENCONTRO",0)</f>
        <v>UPS</v>
      </c>
      <c r="F306" s="78" t="s">
        <v>848</v>
      </c>
      <c r="G306" s="28"/>
    </row>
    <row r="307" spans="1:7" x14ac:dyDescent="0.3">
      <c r="A307" s="44">
        <v>306</v>
      </c>
      <c r="B307" s="40" t="s">
        <v>415</v>
      </c>
      <c r="C307" s="39" t="s">
        <v>783</v>
      </c>
      <c r="D307" s="39" t="s">
        <v>652</v>
      </c>
      <c r="E307" s="39" t="str">
        <f>_xlfn.XLOOKUP(Table1[[#This Row],[ID Equipo]],Hoja2!A:A,Hoja2!D:D,"NO SE ENCONTRO",0)</f>
        <v>COMPUTADORA DE ESCRITORIO</v>
      </c>
      <c r="F307" s="77" t="s">
        <v>848</v>
      </c>
      <c r="G307" s="39"/>
    </row>
    <row r="308" spans="1:7" x14ac:dyDescent="0.3">
      <c r="A308" s="44">
        <v>307</v>
      </c>
      <c r="B308" s="40" t="s">
        <v>416</v>
      </c>
      <c r="C308" s="39" t="s">
        <v>783</v>
      </c>
      <c r="D308" s="39" t="s">
        <v>652</v>
      </c>
      <c r="E308" s="39" t="str">
        <f>_xlfn.XLOOKUP(Table1[[#This Row],[ID Equipo]],Hoja2!A:A,Hoja2!D:D,"NO SE ENCONTRO",0)</f>
        <v>UPS</v>
      </c>
      <c r="F308" s="77" t="s">
        <v>848</v>
      </c>
      <c r="G308" s="39"/>
    </row>
    <row r="309" spans="1:7" x14ac:dyDescent="0.3">
      <c r="A309" s="44">
        <v>308</v>
      </c>
      <c r="B309" s="40" t="s">
        <v>417</v>
      </c>
      <c r="C309" s="39" t="s">
        <v>418</v>
      </c>
      <c r="D309" s="39" t="s">
        <v>652</v>
      </c>
      <c r="E309" s="39" t="str">
        <f>_xlfn.XLOOKUP(Table1[[#This Row],[ID Equipo]],Hoja2!A:A,Hoja2!D:D,"NO SE ENCONTRO",0)</f>
        <v>COMPUTADORA DE ESCRITORIO</v>
      </c>
      <c r="F309" s="77" t="s">
        <v>848</v>
      </c>
      <c r="G309" s="39"/>
    </row>
    <row r="310" spans="1:7" x14ac:dyDescent="0.3">
      <c r="A310" s="44">
        <v>309</v>
      </c>
      <c r="B310" s="40" t="s">
        <v>419</v>
      </c>
      <c r="C310" s="39" t="s">
        <v>418</v>
      </c>
      <c r="D310" s="39" t="s">
        <v>652</v>
      </c>
      <c r="E310" s="39" t="str">
        <f>_xlfn.XLOOKUP(Table1[[#This Row],[ID Equipo]],Hoja2!A:A,Hoja2!D:D,"NO SE ENCONTRO",0)</f>
        <v>UPS</v>
      </c>
      <c r="F310" s="77" t="s">
        <v>848</v>
      </c>
      <c r="G310" s="39"/>
    </row>
    <row r="311" spans="1:7" x14ac:dyDescent="0.3">
      <c r="A311" s="44">
        <v>310</v>
      </c>
      <c r="B311" s="40" t="s">
        <v>420</v>
      </c>
      <c r="C311" s="39" t="s">
        <v>423</v>
      </c>
      <c r="D311" s="39" t="s">
        <v>652</v>
      </c>
      <c r="E311" s="39" t="str">
        <f>_xlfn.XLOOKUP(Table1[[#This Row],[ID Equipo]],Hoja2!A:A,Hoja2!D:D,"NO SE ENCONTRO",0)</f>
        <v>COMPUTADORA DE ESCRITORIO</v>
      </c>
      <c r="F311" s="77" t="s">
        <v>848</v>
      </c>
      <c r="G311" s="39"/>
    </row>
    <row r="312" spans="1:7" x14ac:dyDescent="0.3">
      <c r="A312" s="44">
        <v>311</v>
      </c>
      <c r="B312" s="40" t="s">
        <v>421</v>
      </c>
      <c r="C312" s="39" t="s">
        <v>423</v>
      </c>
      <c r="D312" s="39" t="s">
        <v>652</v>
      </c>
      <c r="E312" s="39" t="str">
        <f>_xlfn.XLOOKUP(Table1[[#This Row],[ID Equipo]],Hoja2!A:A,Hoja2!D:D,"NO SE ENCONTRO",0)</f>
        <v>UPS</v>
      </c>
      <c r="F312" s="77" t="s">
        <v>848</v>
      </c>
      <c r="G312" s="39"/>
    </row>
    <row r="313" spans="1:7" x14ac:dyDescent="0.3">
      <c r="A313" s="44">
        <v>312</v>
      </c>
      <c r="B313" s="40" t="s">
        <v>422</v>
      </c>
      <c r="C313" s="39" t="s">
        <v>424</v>
      </c>
      <c r="D313" s="39" t="s">
        <v>652</v>
      </c>
      <c r="E313" s="39" t="str">
        <f>_xlfn.XLOOKUP(Table1[[#This Row],[ID Equipo]],Hoja2!A:A,Hoja2!D:D,"NO SE ENCONTRO",0)</f>
        <v>COMPUTADORA DE ESCRITORIO</v>
      </c>
      <c r="F313" s="77" t="s">
        <v>848</v>
      </c>
      <c r="G313" s="39"/>
    </row>
    <row r="314" spans="1:7" x14ac:dyDescent="0.3">
      <c r="A314" s="44">
        <v>313</v>
      </c>
      <c r="B314" s="40" t="s">
        <v>425</v>
      </c>
      <c r="C314" s="39" t="s">
        <v>424</v>
      </c>
      <c r="D314" s="39" t="s">
        <v>652</v>
      </c>
      <c r="E314" s="39" t="str">
        <f>_xlfn.XLOOKUP(Table1[[#This Row],[ID Equipo]],Hoja2!A:A,Hoja2!D:D,"NO SE ENCONTRO",0)</f>
        <v>UPS</v>
      </c>
      <c r="F314" s="77" t="s">
        <v>848</v>
      </c>
      <c r="G314" s="39"/>
    </row>
    <row r="315" spans="1:7" x14ac:dyDescent="0.3">
      <c r="A315" s="44">
        <v>314</v>
      </c>
      <c r="B315" s="40" t="s">
        <v>426</v>
      </c>
      <c r="C315" s="39" t="s">
        <v>427</v>
      </c>
      <c r="D315" s="39" t="s">
        <v>652</v>
      </c>
      <c r="E315" s="39" t="str">
        <f>_xlfn.XLOOKUP(Table1[[#This Row],[ID Equipo]],Hoja2!A:A,Hoja2!D:D,"NO SE ENCONTRO",0)</f>
        <v>COMPUTADORA DE ESCRITORIO</v>
      </c>
      <c r="F315" s="77" t="s">
        <v>848</v>
      </c>
      <c r="G315" s="39"/>
    </row>
    <row r="316" spans="1:7" x14ac:dyDescent="0.3">
      <c r="A316" s="44">
        <v>315</v>
      </c>
      <c r="B316" s="40" t="s">
        <v>428</v>
      </c>
      <c r="C316" s="39" t="s">
        <v>427</v>
      </c>
      <c r="D316" s="39" t="s">
        <v>652</v>
      </c>
      <c r="E316" s="39" t="str">
        <f>_xlfn.XLOOKUP(Table1[[#This Row],[ID Equipo]],Hoja2!A:A,Hoja2!D:D,"NO SE ENCONTRO",0)</f>
        <v>UPS</v>
      </c>
      <c r="F316" s="77" t="s">
        <v>848</v>
      </c>
      <c r="G316" s="39"/>
    </row>
    <row r="317" spans="1:7" x14ac:dyDescent="0.3">
      <c r="A317" s="44">
        <v>316</v>
      </c>
      <c r="B317" s="40" t="s">
        <v>429</v>
      </c>
      <c r="C317" s="39" t="s">
        <v>430</v>
      </c>
      <c r="D317" s="39" t="s">
        <v>652</v>
      </c>
      <c r="E317" s="39" t="str">
        <f>_xlfn.XLOOKUP(Table1[[#This Row],[ID Equipo]],Hoja2!A:A,Hoja2!D:D,"NO SE ENCONTRO",0)</f>
        <v>COMPUTADORA DE ESCRITORIO</v>
      </c>
      <c r="F317" s="77" t="s">
        <v>848</v>
      </c>
      <c r="G317" s="39"/>
    </row>
    <row r="318" spans="1:7" x14ac:dyDescent="0.3">
      <c r="A318" s="44">
        <v>317</v>
      </c>
      <c r="B318" s="40" t="s">
        <v>435</v>
      </c>
      <c r="C318" s="39" t="s">
        <v>430</v>
      </c>
      <c r="D318" s="39" t="s">
        <v>652</v>
      </c>
      <c r="E318" s="39" t="str">
        <f>_xlfn.XLOOKUP(Table1[[#This Row],[ID Equipo]],Hoja2!A:A,Hoja2!D:D,"NO SE ENCONTRO",0)</f>
        <v>UPS</v>
      </c>
      <c r="F318" s="77" t="s">
        <v>848</v>
      </c>
      <c r="G318" s="39"/>
    </row>
    <row r="319" spans="1:7" x14ac:dyDescent="0.3">
      <c r="A319" s="44">
        <v>318</v>
      </c>
      <c r="B319" s="29" t="s">
        <v>432</v>
      </c>
      <c r="C319" s="28" t="s">
        <v>433</v>
      </c>
      <c r="D319" s="28" t="s">
        <v>657</v>
      </c>
      <c r="E319" s="28" t="str">
        <f>_xlfn.XLOOKUP(Table1[[#This Row],[ID Equipo]],Hoja2!A:A,Hoja2!D:D,"NO SE ENCONTRO",0)</f>
        <v>COMPUTADORA DE ESCRITORIO</v>
      </c>
      <c r="F319" s="78" t="s">
        <v>848</v>
      </c>
      <c r="G319" s="28"/>
    </row>
    <row r="320" spans="1:7" x14ac:dyDescent="0.3">
      <c r="A320" s="44">
        <v>319</v>
      </c>
      <c r="B320" s="29" t="s">
        <v>434</v>
      </c>
      <c r="C320" s="28" t="s">
        <v>433</v>
      </c>
      <c r="D320" s="28" t="s">
        <v>657</v>
      </c>
      <c r="E320" s="28" t="str">
        <f>_xlfn.XLOOKUP(Table1[[#This Row],[ID Equipo]],Hoja2!A:A,Hoja2!D:D,"NO SE ENCONTRO",0)</f>
        <v>IMPRESORA TERMICA</v>
      </c>
      <c r="F320" s="78" t="s">
        <v>848</v>
      </c>
      <c r="G320" s="28"/>
    </row>
    <row r="321" spans="1:7" x14ac:dyDescent="0.3">
      <c r="A321" s="44">
        <v>320</v>
      </c>
      <c r="B321" s="29" t="s">
        <v>431</v>
      </c>
      <c r="C321" s="28" t="s">
        <v>433</v>
      </c>
      <c r="D321" s="28" t="s">
        <v>657</v>
      </c>
      <c r="E321" s="28" t="str">
        <f>_xlfn.XLOOKUP(Table1[[#This Row],[ID Equipo]],Hoja2!A:A,Hoja2!D:D,"NO SE ENCONTRO",0)</f>
        <v>UPS</v>
      </c>
      <c r="F321" s="78" t="s">
        <v>848</v>
      </c>
      <c r="G321" s="28"/>
    </row>
    <row r="322" spans="1:7" x14ac:dyDescent="0.3">
      <c r="A322" s="44">
        <v>321</v>
      </c>
      <c r="B322" s="40" t="s">
        <v>436</v>
      </c>
      <c r="C322" s="39" t="s">
        <v>788</v>
      </c>
      <c r="D322" s="39" t="s">
        <v>652</v>
      </c>
      <c r="E322" s="39" t="str">
        <f>_xlfn.XLOOKUP(Table1[[#This Row],[ID Equipo]],Hoja2!A:A,Hoja2!D:D,"NO SE ENCONTRO",0)</f>
        <v>COMPUTADORA DE ESCRITORIO</v>
      </c>
      <c r="F322" s="77" t="s">
        <v>848</v>
      </c>
      <c r="G322" s="39"/>
    </row>
    <row r="323" spans="1:7" x14ac:dyDescent="0.3">
      <c r="A323" s="44">
        <v>322</v>
      </c>
      <c r="B323" s="40" t="s">
        <v>438</v>
      </c>
      <c r="C323" s="39" t="s">
        <v>788</v>
      </c>
      <c r="D323" s="39" t="s">
        <v>652</v>
      </c>
      <c r="E323" s="39" t="str">
        <f>_xlfn.XLOOKUP(Table1[[#This Row],[ID Equipo]],Hoja2!A:A,Hoja2!D:D,"NO SE ENCONTRO",0)</f>
        <v>UPS</v>
      </c>
      <c r="F323" s="77" t="s">
        <v>848</v>
      </c>
      <c r="G323" s="39"/>
    </row>
    <row r="324" spans="1:7" x14ac:dyDescent="0.3">
      <c r="A324" s="44">
        <v>323</v>
      </c>
      <c r="B324" s="35" t="s">
        <v>530</v>
      </c>
      <c r="C324" s="34" t="s">
        <v>531</v>
      </c>
      <c r="D324" s="34" t="s">
        <v>782</v>
      </c>
      <c r="E324" s="34" t="str">
        <f>_xlfn.XLOOKUP(Table1[[#This Row],[ID Equipo]],Hoja2!A:A,Hoja2!D:D,"NO SE ENCONTRO",0)</f>
        <v>COMPUTADORA DE ESCRITORIO</v>
      </c>
      <c r="F324" s="54" t="s">
        <v>848</v>
      </c>
      <c r="G324" s="34"/>
    </row>
    <row r="325" spans="1:7" x14ac:dyDescent="0.3">
      <c r="A325" s="44">
        <v>324</v>
      </c>
      <c r="B325" s="57" t="s">
        <v>705</v>
      </c>
      <c r="C325" s="34" t="s">
        <v>439</v>
      </c>
      <c r="D325" s="34" t="s">
        <v>782</v>
      </c>
      <c r="E325" s="34" t="str">
        <f>_xlfn.XLOOKUP(Table1[[#This Row],[ID Equipo]],Hoja2!A:A,Hoja2!D:D,"NO SE ENCONTRO",0)</f>
        <v>COMPUTADORA DE ESCRITORIO</v>
      </c>
      <c r="F325" s="54" t="s">
        <v>848</v>
      </c>
      <c r="G325" s="34"/>
    </row>
    <row r="326" spans="1:7" x14ac:dyDescent="0.3">
      <c r="A326" s="44">
        <v>325</v>
      </c>
      <c r="B326" s="40" t="s">
        <v>440</v>
      </c>
      <c r="C326" s="39" t="s">
        <v>441</v>
      </c>
      <c r="D326" s="39" t="s">
        <v>652</v>
      </c>
      <c r="E326" s="39" t="str">
        <f>_xlfn.XLOOKUP(Table1[[#This Row],[ID Equipo]],Hoja2!A:A,Hoja2!D:D,"NO SE ENCONTRO",0)</f>
        <v>COMPUTADORA DE ESCRITORIO</v>
      </c>
      <c r="F326" s="77" t="s">
        <v>848</v>
      </c>
      <c r="G326" s="39"/>
    </row>
    <row r="327" spans="1:7" x14ac:dyDescent="0.3">
      <c r="A327" s="44">
        <v>326</v>
      </c>
      <c r="B327" s="40" t="s">
        <v>442</v>
      </c>
      <c r="C327" s="39" t="s">
        <v>441</v>
      </c>
      <c r="D327" s="39" t="s">
        <v>652</v>
      </c>
      <c r="E327" s="39" t="str">
        <f>_xlfn.XLOOKUP(Table1[[#This Row],[ID Equipo]],Hoja2!A:A,Hoja2!D:D,"NO SE ENCONTRO",0)</f>
        <v>UPS</v>
      </c>
      <c r="F327" s="77" t="s">
        <v>848</v>
      </c>
      <c r="G327" s="39"/>
    </row>
    <row r="328" spans="1:7" x14ac:dyDescent="0.3">
      <c r="A328" s="44">
        <v>327</v>
      </c>
      <c r="B328" s="35" t="s">
        <v>443</v>
      </c>
      <c r="C328" s="34" t="s">
        <v>444</v>
      </c>
      <c r="D328" s="34" t="s">
        <v>782</v>
      </c>
      <c r="E328" s="34" t="s">
        <v>771</v>
      </c>
      <c r="F328" s="54" t="s">
        <v>848</v>
      </c>
      <c r="G328" s="34"/>
    </row>
    <row r="329" spans="1:7" x14ac:dyDescent="0.3">
      <c r="A329" s="44">
        <v>328</v>
      </c>
      <c r="B329" s="40" t="s">
        <v>447</v>
      </c>
      <c r="C329" s="39" t="s">
        <v>448</v>
      </c>
      <c r="D329" s="39" t="s">
        <v>652</v>
      </c>
      <c r="E329" s="39" t="str">
        <f>_xlfn.XLOOKUP(Table1[[#This Row],[ID Equipo]],Hoja2!A:A,Hoja2!D:D,"NO SE ENCONTRO",0)</f>
        <v>COMPUTADORA DE ESCRITORIO</v>
      </c>
      <c r="F329" s="77" t="s">
        <v>848</v>
      </c>
      <c r="G329" s="39"/>
    </row>
    <row r="330" spans="1:7" x14ac:dyDescent="0.3">
      <c r="A330" s="44">
        <v>329</v>
      </c>
      <c r="B330" s="40" t="s">
        <v>449</v>
      </c>
      <c r="C330" s="39" t="s">
        <v>448</v>
      </c>
      <c r="D330" s="39" t="s">
        <v>652</v>
      </c>
      <c r="E330" s="39" t="str">
        <f>_xlfn.XLOOKUP(Table1[[#This Row],[ID Equipo]],Hoja2!A:A,Hoja2!D:D,"NO SE ENCONTRO",0)</f>
        <v>UPS</v>
      </c>
      <c r="F330" s="77" t="s">
        <v>848</v>
      </c>
      <c r="G330" s="39"/>
    </row>
    <row r="331" spans="1:7" x14ac:dyDescent="0.3">
      <c r="A331" s="44">
        <v>330</v>
      </c>
      <c r="B331" s="40" t="s">
        <v>450</v>
      </c>
      <c r="C331" s="39" t="s">
        <v>451</v>
      </c>
      <c r="D331" s="39" t="s">
        <v>652</v>
      </c>
      <c r="E331" s="39" t="str">
        <f>_xlfn.XLOOKUP(Table1[[#This Row],[ID Equipo]],Hoja2!A:A,Hoja2!D:D,"NO SE ENCONTRO",0)</f>
        <v>COMPUTADORA DE ESCRITORIO</v>
      </c>
      <c r="F331" s="77" t="s">
        <v>848</v>
      </c>
      <c r="G331" s="39"/>
    </row>
    <row r="332" spans="1:7" x14ac:dyDescent="0.3">
      <c r="A332" s="44">
        <v>331</v>
      </c>
      <c r="B332" s="40" t="s">
        <v>452</v>
      </c>
      <c r="C332" s="39" t="s">
        <v>451</v>
      </c>
      <c r="D332" s="39" t="s">
        <v>652</v>
      </c>
      <c r="E332" s="39" t="str">
        <f>_xlfn.XLOOKUP(Table1[[#This Row],[ID Equipo]],Hoja2!A:A,Hoja2!D:D,"NO SE ENCONTRO",0)</f>
        <v>UPS</v>
      </c>
      <c r="F332" s="77" t="s">
        <v>848</v>
      </c>
      <c r="G332" s="39"/>
    </row>
    <row r="333" spans="1:7" x14ac:dyDescent="0.3">
      <c r="A333" s="44">
        <v>332</v>
      </c>
      <c r="B333" s="40" t="s">
        <v>453</v>
      </c>
      <c r="C333" s="39" t="s">
        <v>454</v>
      </c>
      <c r="D333" s="39" t="s">
        <v>652</v>
      </c>
      <c r="E333" s="39" t="str">
        <f>_xlfn.XLOOKUP(Table1[[#This Row],[ID Equipo]],Hoja2!A:A,Hoja2!D:D,"NO SE ENCONTRO",0)</f>
        <v>COMPUTADORA DE ESCRITORIO</v>
      </c>
      <c r="F333" s="77" t="s">
        <v>848</v>
      </c>
      <c r="G333" s="39"/>
    </row>
    <row r="334" spans="1:7" x14ac:dyDescent="0.3">
      <c r="A334" s="44">
        <v>333</v>
      </c>
      <c r="B334" s="40" t="s">
        <v>455</v>
      </c>
      <c r="C334" s="39" t="s">
        <v>454</v>
      </c>
      <c r="D334" s="39" t="s">
        <v>652</v>
      </c>
      <c r="E334" s="39" t="str">
        <f>_xlfn.XLOOKUP(Table1[[#This Row],[ID Equipo]],Hoja2!A:A,Hoja2!D:D,"NO SE ENCONTRO",0)</f>
        <v>UPS</v>
      </c>
      <c r="F334" s="77" t="s">
        <v>848</v>
      </c>
      <c r="G334" s="39"/>
    </row>
    <row r="335" spans="1:7" x14ac:dyDescent="0.3">
      <c r="A335" s="44">
        <v>334</v>
      </c>
      <c r="B335" s="35" t="s">
        <v>486</v>
      </c>
      <c r="C335" s="34" t="s">
        <v>620</v>
      </c>
      <c r="D335" s="34" t="s">
        <v>782</v>
      </c>
      <c r="E335" s="34" t="str">
        <f>_xlfn.XLOOKUP(Table1[[#This Row],[ID Equipo]],Hoja2!A:A,Hoja2!D:D,"NO SE ENCONTRO",0)</f>
        <v>UPS</v>
      </c>
      <c r="F335" s="54" t="s">
        <v>848</v>
      </c>
      <c r="G335" s="34"/>
    </row>
    <row r="336" spans="1:7" x14ac:dyDescent="0.3">
      <c r="A336" s="44">
        <v>335</v>
      </c>
      <c r="B336" s="35" t="s">
        <v>485</v>
      </c>
      <c r="C336" s="34" t="s">
        <v>619</v>
      </c>
      <c r="D336" s="34" t="s">
        <v>782</v>
      </c>
      <c r="E336" s="34" t="str">
        <f>_xlfn.XLOOKUP(Table1[[#This Row],[ID Equipo]],Hoja2!A:A,Hoja2!D:D,"NO SE ENCONTRO",0)</f>
        <v>UPS</v>
      </c>
      <c r="F336" s="54" t="s">
        <v>848</v>
      </c>
      <c r="G336" s="34"/>
    </row>
    <row r="337" spans="1:7" x14ac:dyDescent="0.3">
      <c r="A337" s="44">
        <v>336</v>
      </c>
      <c r="B337" s="40" t="s">
        <v>462</v>
      </c>
      <c r="C337" s="39" t="s">
        <v>456</v>
      </c>
      <c r="D337" s="39" t="s">
        <v>652</v>
      </c>
      <c r="E337" s="39" t="s">
        <v>770</v>
      </c>
      <c r="F337" s="77" t="s">
        <v>848</v>
      </c>
      <c r="G337" s="39"/>
    </row>
    <row r="338" spans="1:7" x14ac:dyDescent="0.3">
      <c r="A338" s="44">
        <v>337</v>
      </c>
      <c r="B338" s="40" t="s">
        <v>711</v>
      </c>
      <c r="C338" s="39" t="s">
        <v>456</v>
      </c>
      <c r="D338" s="39" t="s">
        <v>652</v>
      </c>
      <c r="E338" s="39" t="s">
        <v>771</v>
      </c>
      <c r="F338" s="77" t="s">
        <v>848</v>
      </c>
      <c r="G338" s="39"/>
    </row>
    <row r="339" spans="1:7" x14ac:dyDescent="0.3">
      <c r="A339" s="44">
        <v>338</v>
      </c>
      <c r="B339" s="40" t="s">
        <v>457</v>
      </c>
      <c r="C339" s="39" t="s">
        <v>458</v>
      </c>
      <c r="D339" s="39" t="s">
        <v>652</v>
      </c>
      <c r="E339" s="39" t="str">
        <f>_xlfn.XLOOKUP(Table1[[#This Row],[ID Equipo]],Hoja2!A:A,Hoja2!D:D,"NO SE ENCONTRO",0)</f>
        <v>COMPUTADORA DE ESCRITORIO</v>
      </c>
      <c r="F339" s="77" t="s">
        <v>848</v>
      </c>
      <c r="G339" s="39"/>
    </row>
    <row r="340" spans="1:7" x14ac:dyDescent="0.3">
      <c r="A340" s="44">
        <v>339</v>
      </c>
      <c r="B340" s="40" t="s">
        <v>459</v>
      </c>
      <c r="C340" s="39" t="s">
        <v>458</v>
      </c>
      <c r="D340" s="39" t="s">
        <v>652</v>
      </c>
      <c r="E340" s="39" t="str">
        <f>_xlfn.XLOOKUP(Table1[[#This Row],[ID Equipo]],Hoja2!A:A,Hoja2!D:D,"NO SE ENCONTRO",0)</f>
        <v>UPS</v>
      </c>
      <c r="F340" s="77" t="s">
        <v>848</v>
      </c>
      <c r="G340" s="39"/>
    </row>
    <row r="341" spans="1:7" x14ac:dyDescent="0.3">
      <c r="A341" s="44">
        <v>340</v>
      </c>
      <c r="B341" s="40" t="s">
        <v>460</v>
      </c>
      <c r="C341" s="39" t="s">
        <v>464</v>
      </c>
      <c r="D341" s="39" t="s">
        <v>652</v>
      </c>
      <c r="E341" s="39" t="str">
        <f>_xlfn.XLOOKUP(Table1[[#This Row],[ID Equipo]],Hoja2!A:A,Hoja2!D:D,"NO SE ENCONTRO",0)</f>
        <v>COMPUTADORA DE ESCRITORIO</v>
      </c>
      <c r="F341" s="77" t="s">
        <v>848</v>
      </c>
      <c r="G341" s="39"/>
    </row>
    <row r="342" spans="1:7" x14ac:dyDescent="0.3">
      <c r="A342" s="44">
        <v>341</v>
      </c>
      <c r="B342" s="40" t="s">
        <v>463</v>
      </c>
      <c r="C342" s="39" t="s">
        <v>464</v>
      </c>
      <c r="D342" s="39" t="s">
        <v>652</v>
      </c>
      <c r="E342" s="39" t="str">
        <f>_xlfn.XLOOKUP(Table1[[#This Row],[ID Equipo]],Hoja2!A:A,Hoja2!D:D,"NO SE ENCONTRO",0)</f>
        <v>IMPRESORA TERMICA</v>
      </c>
      <c r="F342" s="77" t="s">
        <v>848</v>
      </c>
      <c r="G342" s="39"/>
    </row>
    <row r="343" spans="1:7" x14ac:dyDescent="0.3">
      <c r="A343" s="44">
        <v>342</v>
      </c>
      <c r="B343" s="40" t="s">
        <v>465</v>
      </c>
      <c r="C343" s="39" t="s">
        <v>464</v>
      </c>
      <c r="D343" s="39" t="s">
        <v>652</v>
      </c>
      <c r="E343" s="39" t="str">
        <f>_xlfn.XLOOKUP(Table1[[#This Row],[ID Equipo]],Hoja2!A:A,Hoja2!D:D,"NO SE ENCONTRO",0)</f>
        <v>UPS</v>
      </c>
      <c r="F343" s="77" t="s">
        <v>848</v>
      </c>
      <c r="G343" s="39"/>
    </row>
    <row r="344" spans="1:7" x14ac:dyDescent="0.3">
      <c r="A344" s="44">
        <v>343</v>
      </c>
      <c r="B344" s="40" t="s">
        <v>466</v>
      </c>
      <c r="C344" s="39" t="s">
        <v>467</v>
      </c>
      <c r="D344" s="39" t="s">
        <v>652</v>
      </c>
      <c r="E344" s="39" t="str">
        <f>_xlfn.XLOOKUP(Table1[[#This Row],[ID Equipo]],Hoja2!A:A,Hoja2!D:D,"NO SE ENCONTRO",0)</f>
        <v>COMPUTADORA DE ESCRITORIO</v>
      </c>
      <c r="F344" s="77" t="s">
        <v>848</v>
      </c>
      <c r="G344" s="39"/>
    </row>
    <row r="345" spans="1:7" x14ac:dyDescent="0.3">
      <c r="A345" s="44">
        <v>344</v>
      </c>
      <c r="B345" s="40" t="s">
        <v>468</v>
      </c>
      <c r="C345" s="39" t="s">
        <v>467</v>
      </c>
      <c r="D345" s="39" t="s">
        <v>652</v>
      </c>
      <c r="E345" s="39" t="str">
        <f>_xlfn.XLOOKUP(Table1[[#This Row],[ID Equipo]],Hoja2!A:A,Hoja2!D:D,"NO SE ENCONTRO",0)</f>
        <v>IMPRESORA TERMICA</v>
      </c>
      <c r="F345" s="77" t="s">
        <v>848</v>
      </c>
      <c r="G345" s="39"/>
    </row>
    <row r="346" spans="1:7" x14ac:dyDescent="0.3">
      <c r="A346" s="44">
        <v>345</v>
      </c>
      <c r="B346" s="40" t="s">
        <v>469</v>
      </c>
      <c r="C346" s="39" t="s">
        <v>467</v>
      </c>
      <c r="D346" s="39" t="s">
        <v>652</v>
      </c>
      <c r="E346" s="39" t="str">
        <f>_xlfn.XLOOKUP(Table1[[#This Row],[ID Equipo]],Hoja2!A:A,Hoja2!D:D,"NO SE ENCONTRO",0)</f>
        <v>UPS</v>
      </c>
      <c r="F346" s="77" t="s">
        <v>848</v>
      </c>
      <c r="G346" s="39"/>
    </row>
    <row r="347" spans="1:7" x14ac:dyDescent="0.3">
      <c r="A347" s="44">
        <v>346</v>
      </c>
      <c r="B347" s="40" t="s">
        <v>470</v>
      </c>
      <c r="C347" s="39" t="s">
        <v>471</v>
      </c>
      <c r="D347" s="39" t="s">
        <v>652</v>
      </c>
      <c r="E347" s="39" t="str">
        <f>_xlfn.XLOOKUP(Table1[[#This Row],[ID Equipo]],Hoja2!A:A,Hoja2!D:D,"NO SE ENCONTRO",0)</f>
        <v>COMPUTADORA DE ESCRITORIO</v>
      </c>
      <c r="F347" s="77" t="s">
        <v>848</v>
      </c>
      <c r="G347" s="39"/>
    </row>
    <row r="348" spans="1:7" x14ac:dyDescent="0.3">
      <c r="A348" s="44">
        <v>347</v>
      </c>
      <c r="B348" s="40" t="s">
        <v>472</v>
      </c>
      <c r="C348" s="39" t="s">
        <v>471</v>
      </c>
      <c r="D348" s="39" t="s">
        <v>652</v>
      </c>
      <c r="E348" s="39" t="str">
        <f>_xlfn.XLOOKUP(Table1[[#This Row],[ID Equipo]],Hoja2!A:A,Hoja2!D:D,"NO SE ENCONTRO",0)</f>
        <v>UPS</v>
      </c>
      <c r="F348" s="77" t="s">
        <v>848</v>
      </c>
      <c r="G348" s="39"/>
    </row>
    <row r="349" spans="1:7" x14ac:dyDescent="0.3">
      <c r="A349" s="44">
        <v>348</v>
      </c>
      <c r="B349" s="40" t="s">
        <v>543</v>
      </c>
      <c r="C349" s="39" t="s">
        <v>473</v>
      </c>
      <c r="D349" s="39" t="s">
        <v>652</v>
      </c>
      <c r="E349" s="39" t="s">
        <v>770</v>
      </c>
      <c r="F349" s="77" t="s">
        <v>848</v>
      </c>
      <c r="G349" s="39"/>
    </row>
    <row r="350" spans="1:7" x14ac:dyDescent="0.3">
      <c r="A350" s="44">
        <v>349</v>
      </c>
      <c r="B350" s="40" t="s">
        <v>474</v>
      </c>
      <c r="C350" s="39" t="s">
        <v>473</v>
      </c>
      <c r="D350" s="39" t="s">
        <v>652</v>
      </c>
      <c r="E350" s="39" t="str">
        <f>_xlfn.XLOOKUP(Table1[[#This Row],[ID Equipo]],Hoja2!A:A,Hoja2!D:D,"NO SE ENCONTRO",0)</f>
        <v>UPS</v>
      </c>
      <c r="F350" s="77" t="s">
        <v>848</v>
      </c>
      <c r="G350" s="39"/>
    </row>
    <row r="351" spans="1:7" x14ac:dyDescent="0.3">
      <c r="A351" s="44">
        <v>350</v>
      </c>
      <c r="B351" s="40" t="s">
        <v>842</v>
      </c>
      <c r="C351" s="39" t="s">
        <v>843</v>
      </c>
      <c r="D351" s="39" t="s">
        <v>652</v>
      </c>
      <c r="E351" s="39" t="s">
        <v>770</v>
      </c>
      <c r="F351" s="77" t="s">
        <v>848</v>
      </c>
      <c r="G351" s="39" t="s">
        <v>844</v>
      </c>
    </row>
    <row r="352" spans="1:7" x14ac:dyDescent="0.3">
      <c r="A352" s="44">
        <v>351</v>
      </c>
      <c r="B352" s="40" t="s">
        <v>478</v>
      </c>
      <c r="C352" s="39" t="s">
        <v>480</v>
      </c>
      <c r="D352" s="39" t="s">
        <v>652</v>
      </c>
      <c r="E352" s="39" t="s">
        <v>770</v>
      </c>
      <c r="F352" s="77" t="s">
        <v>848</v>
      </c>
      <c r="G352" s="39"/>
    </row>
    <row r="353" spans="1:8" x14ac:dyDescent="0.3">
      <c r="A353" s="44">
        <v>352</v>
      </c>
      <c r="B353" s="40" t="s">
        <v>479</v>
      </c>
      <c r="C353" s="39" t="s">
        <v>480</v>
      </c>
      <c r="D353" s="39" t="s">
        <v>652</v>
      </c>
      <c r="E353" s="39" t="str">
        <f>_xlfn.XLOOKUP(Table1[[#This Row],[ID Equipo]],Hoja2!A:A,Hoja2!D:D,"NO SE ENCONTRO",0)</f>
        <v>UPS</v>
      </c>
      <c r="F353" s="77" t="s">
        <v>848</v>
      </c>
      <c r="G353" s="39"/>
    </row>
    <row r="354" spans="1:8" x14ac:dyDescent="0.3">
      <c r="A354" s="44">
        <v>353</v>
      </c>
      <c r="B354" s="40" t="s">
        <v>475</v>
      </c>
      <c r="C354" s="39" t="s">
        <v>476</v>
      </c>
      <c r="D354" s="39" t="s">
        <v>652</v>
      </c>
      <c r="E354" s="39" t="str">
        <f>_xlfn.XLOOKUP(Table1[[#This Row],[ID Equipo]],Hoja2!A:A,Hoja2!D:D,"NO SE ENCONTRO",0)</f>
        <v>COMPUTADORA DE ESCRITORIO</v>
      </c>
      <c r="F354" s="77" t="s">
        <v>848</v>
      </c>
      <c r="G354" s="39"/>
    </row>
    <row r="355" spans="1:8" x14ac:dyDescent="0.3">
      <c r="A355" s="44">
        <v>354</v>
      </c>
      <c r="B355" s="40" t="s">
        <v>360</v>
      </c>
      <c r="C355" s="39" t="s">
        <v>476</v>
      </c>
      <c r="D355" s="39" t="s">
        <v>652</v>
      </c>
      <c r="E355" s="39" t="str">
        <f>_xlfn.XLOOKUP(Table1[[#This Row],[ID Equipo]],Hoja2!A:A,Hoja2!D:D,"NO SE ENCONTRO",0)</f>
        <v>IMPRESORA TERMICA</v>
      </c>
      <c r="F355" s="77" t="s">
        <v>848</v>
      </c>
      <c r="G355" s="39"/>
    </row>
    <row r="356" spans="1:8" x14ac:dyDescent="0.3">
      <c r="A356" s="44">
        <v>355</v>
      </c>
      <c r="B356" s="40" t="s">
        <v>477</v>
      </c>
      <c r="C356" s="39" t="s">
        <v>476</v>
      </c>
      <c r="D356" s="39" t="s">
        <v>652</v>
      </c>
      <c r="E356" s="39" t="str">
        <f>_xlfn.XLOOKUP(Table1[[#This Row],[ID Equipo]],Hoja2!A:A,Hoja2!D:D,"NO SE ENCONTRO",0)</f>
        <v>UPS</v>
      </c>
      <c r="F356" s="77" t="s">
        <v>848</v>
      </c>
      <c r="G356" s="39"/>
      <c r="H356" s="48"/>
    </row>
    <row r="357" spans="1:8" x14ac:dyDescent="0.3">
      <c r="A357" s="44">
        <v>356</v>
      </c>
      <c r="B357" s="35" t="s">
        <v>547</v>
      </c>
      <c r="C357" s="34" t="s">
        <v>618</v>
      </c>
      <c r="D357" s="34" t="s">
        <v>782</v>
      </c>
      <c r="E357" s="34" t="str">
        <f>_xlfn.XLOOKUP(Table1[[#This Row],[ID Equipo]],Hoja2!A:A,Hoja2!D:D,"NO SE ENCONTRO",0)</f>
        <v>COMPUTADORA DE ESCRITORIO</v>
      </c>
      <c r="F357" s="54" t="s">
        <v>848</v>
      </c>
      <c r="G357" s="34"/>
    </row>
    <row r="358" spans="1:8" x14ac:dyDescent="0.3">
      <c r="A358" s="44">
        <v>357</v>
      </c>
      <c r="B358" s="35" t="s">
        <v>484</v>
      </c>
      <c r="C358" s="34" t="s">
        <v>482</v>
      </c>
      <c r="D358" s="34" t="s">
        <v>782</v>
      </c>
      <c r="E358" s="34" t="str">
        <f>_xlfn.XLOOKUP(Table1[[#This Row],[ID Equipo]],Hoja2!A:A,Hoja2!D:D,"NO SE ENCONTRO",0)</f>
        <v>COMPUTADORA DE ESCRITORIO</v>
      </c>
      <c r="F358" s="54" t="s">
        <v>848</v>
      </c>
      <c r="G358" s="34"/>
    </row>
    <row r="359" spans="1:8" x14ac:dyDescent="0.3">
      <c r="A359" s="44">
        <v>358</v>
      </c>
      <c r="B359" s="40" t="s">
        <v>461</v>
      </c>
      <c r="C359" s="39" t="s">
        <v>823</v>
      </c>
      <c r="D359" s="39" t="s">
        <v>652</v>
      </c>
      <c r="E359" s="39" t="s">
        <v>770</v>
      </c>
      <c r="F359" s="77" t="s">
        <v>848</v>
      </c>
      <c r="G359" s="39"/>
    </row>
    <row r="360" spans="1:8" x14ac:dyDescent="0.3">
      <c r="A360" s="44">
        <v>359</v>
      </c>
      <c r="B360" s="40" t="s">
        <v>47</v>
      </c>
      <c r="C360" s="39" t="s">
        <v>823</v>
      </c>
      <c r="D360" s="39" t="s">
        <v>652</v>
      </c>
      <c r="E360" s="39" t="s">
        <v>771</v>
      </c>
      <c r="F360" s="77" t="s">
        <v>848</v>
      </c>
      <c r="G360" s="39"/>
    </row>
    <row r="361" spans="1:8" x14ac:dyDescent="0.3">
      <c r="A361" s="44">
        <v>360</v>
      </c>
      <c r="B361" s="40" t="s">
        <v>488</v>
      </c>
      <c r="C361" s="39" t="s">
        <v>489</v>
      </c>
      <c r="D361" s="39" t="s">
        <v>652</v>
      </c>
      <c r="E361" s="39" t="s">
        <v>770</v>
      </c>
      <c r="F361" s="77" t="s">
        <v>848</v>
      </c>
      <c r="G361" s="39"/>
    </row>
    <row r="362" spans="1:8" x14ac:dyDescent="0.3">
      <c r="A362" s="44">
        <v>361</v>
      </c>
      <c r="B362" s="40" t="s">
        <v>490</v>
      </c>
      <c r="C362" s="39" t="s">
        <v>489</v>
      </c>
      <c r="D362" s="39" t="s">
        <v>652</v>
      </c>
      <c r="E362" s="39" t="s">
        <v>771</v>
      </c>
      <c r="F362" s="77" t="s">
        <v>848</v>
      </c>
      <c r="G362" s="39"/>
    </row>
    <row r="363" spans="1:8" x14ac:dyDescent="0.3">
      <c r="A363" s="44">
        <v>362</v>
      </c>
      <c r="B363" s="29" t="s">
        <v>841</v>
      </c>
      <c r="C363" s="28" t="s">
        <v>491</v>
      </c>
      <c r="D363" s="28" t="s">
        <v>657</v>
      </c>
      <c r="E363" s="28" t="s">
        <v>770</v>
      </c>
      <c r="F363" s="78" t="s">
        <v>848</v>
      </c>
      <c r="G363" s="28"/>
    </row>
    <row r="364" spans="1:8" x14ac:dyDescent="0.3">
      <c r="A364" s="44">
        <v>363</v>
      </c>
      <c r="B364" s="29" t="s">
        <v>492</v>
      </c>
      <c r="C364" s="28" t="s">
        <v>491</v>
      </c>
      <c r="D364" s="28" t="s">
        <v>657</v>
      </c>
      <c r="E364" s="28" t="str">
        <f>_xlfn.XLOOKUP(Table1[[#This Row],[ID Equipo]],Hoja2!A:A,Hoja2!D:D,"NO SE ENCONTRO",0)</f>
        <v>IMPRESORA TERMICA</v>
      </c>
      <c r="F364" s="78" t="s">
        <v>848</v>
      </c>
      <c r="G364" s="28"/>
    </row>
    <row r="365" spans="1:8" x14ac:dyDescent="0.3">
      <c r="A365" s="44">
        <v>364</v>
      </c>
      <c r="B365" s="29" t="s">
        <v>493</v>
      </c>
      <c r="C365" s="28" t="s">
        <v>491</v>
      </c>
      <c r="D365" s="28" t="s">
        <v>657</v>
      </c>
      <c r="E365" s="28" t="str">
        <f>_xlfn.XLOOKUP(Table1[[#This Row],[ID Equipo]],Hoja2!A:A,Hoja2!D:D,"NO SE ENCONTRO",0)</f>
        <v>UPS</v>
      </c>
      <c r="F365" s="78" t="s">
        <v>848</v>
      </c>
      <c r="G365" s="28"/>
      <c r="H365" t="s">
        <v>794</v>
      </c>
    </row>
    <row r="366" spans="1:8" x14ac:dyDescent="0.3">
      <c r="A366" s="44">
        <v>365</v>
      </c>
      <c r="B366" s="40" t="s">
        <v>494</v>
      </c>
      <c r="C366" s="39" t="s">
        <v>495</v>
      </c>
      <c r="D366" s="39" t="s">
        <v>652</v>
      </c>
      <c r="E366" s="39" t="str">
        <f>_xlfn.XLOOKUP(Table1[[#This Row],[ID Equipo]],Hoja2!A:A,Hoja2!D:D,"NO SE ENCONTRO",0)</f>
        <v>IMPRESORA TERMICA</v>
      </c>
      <c r="F366" s="77" t="s">
        <v>848</v>
      </c>
      <c r="G366" s="39"/>
    </row>
    <row r="367" spans="1:8" x14ac:dyDescent="0.3">
      <c r="A367" s="44">
        <v>366</v>
      </c>
      <c r="B367" s="40" t="s">
        <v>514</v>
      </c>
      <c r="C367" s="39" t="s">
        <v>495</v>
      </c>
      <c r="D367" s="39" t="s">
        <v>652</v>
      </c>
      <c r="E367" s="39" t="str">
        <f>_xlfn.XLOOKUP(Table1[[#This Row],[ID Equipo]],Hoja2!A:A,Hoja2!D:D,"NO SE ENCONTRO",0)</f>
        <v>UPS</v>
      </c>
      <c r="F367" s="77" t="s">
        <v>848</v>
      </c>
      <c r="G367" s="39"/>
      <c r="H367" s="48"/>
    </row>
    <row r="368" spans="1:8" x14ac:dyDescent="0.3">
      <c r="A368" s="44">
        <v>367</v>
      </c>
      <c r="B368" s="35" t="s">
        <v>730</v>
      </c>
      <c r="C368" s="34" t="s">
        <v>496</v>
      </c>
      <c r="D368" s="34" t="s">
        <v>782</v>
      </c>
      <c r="E368" s="34" t="s">
        <v>771</v>
      </c>
      <c r="F368" s="54" t="s">
        <v>848</v>
      </c>
      <c r="G368" s="34"/>
    </row>
    <row r="369" spans="1:7" x14ac:dyDescent="0.3">
      <c r="A369" s="44">
        <v>368</v>
      </c>
      <c r="B369" s="40" t="s">
        <v>497</v>
      </c>
      <c r="C369" s="39" t="s">
        <v>819</v>
      </c>
      <c r="D369" s="39" t="s">
        <v>652</v>
      </c>
      <c r="E369" s="39" t="str">
        <f>_xlfn.XLOOKUP(Table1[[#This Row],[ID Equipo]],Hoja2!A:A,Hoja2!D:D,"NO SE ENCONTRO",0)</f>
        <v>UPS</v>
      </c>
      <c r="F369" s="77" t="s">
        <v>848</v>
      </c>
      <c r="G369" s="39"/>
    </row>
    <row r="370" spans="1:7" x14ac:dyDescent="0.3">
      <c r="A370" s="44">
        <v>369</v>
      </c>
      <c r="B370" s="40" t="s">
        <v>731</v>
      </c>
      <c r="C370" s="39" t="s">
        <v>819</v>
      </c>
      <c r="D370" s="39" t="s">
        <v>652</v>
      </c>
      <c r="E370" s="39" t="s">
        <v>771</v>
      </c>
      <c r="F370" s="77" t="s">
        <v>848</v>
      </c>
      <c r="G370" s="39"/>
    </row>
    <row r="371" spans="1:7" x14ac:dyDescent="0.3">
      <c r="A371" s="44">
        <v>370</v>
      </c>
      <c r="B371" s="35" t="s">
        <v>499</v>
      </c>
      <c r="C371" s="34" t="s">
        <v>500</v>
      </c>
      <c r="D371" s="34" t="s">
        <v>782</v>
      </c>
      <c r="E371" s="34" t="s">
        <v>771</v>
      </c>
      <c r="F371" s="54" t="s">
        <v>848</v>
      </c>
      <c r="G371" s="34"/>
    </row>
    <row r="372" spans="1:7" x14ac:dyDescent="0.3">
      <c r="A372" s="44">
        <v>371</v>
      </c>
      <c r="B372" s="35" t="s">
        <v>505</v>
      </c>
      <c r="C372" s="34" t="s">
        <v>506</v>
      </c>
      <c r="D372" s="34" t="s">
        <v>782</v>
      </c>
      <c r="E372" s="34" t="str">
        <f>_xlfn.XLOOKUP(Table1[[#This Row],[ID Equipo]],Hoja2!A:A,Hoja2!D:D,"NO SE ENCONTRO",0)</f>
        <v>UPS</v>
      </c>
      <c r="F372" s="54" t="s">
        <v>848</v>
      </c>
      <c r="G372" s="34"/>
    </row>
    <row r="373" spans="1:7" x14ac:dyDescent="0.3">
      <c r="A373" s="44">
        <v>372</v>
      </c>
      <c r="B373" s="35" t="s">
        <v>501</v>
      </c>
      <c r="C373" s="34" t="s">
        <v>502</v>
      </c>
      <c r="D373" s="34" t="s">
        <v>782</v>
      </c>
      <c r="E373" s="34" t="str">
        <f>_xlfn.XLOOKUP(Table1[[#This Row],[ID Equipo]],Hoja2!A:A,Hoja2!D:D,"NO SE ENCONTRO",0)</f>
        <v>UPS</v>
      </c>
      <c r="F373" s="54" t="s">
        <v>848</v>
      </c>
      <c r="G373" s="34"/>
    </row>
    <row r="374" spans="1:7" x14ac:dyDescent="0.3">
      <c r="A374" s="44">
        <v>373</v>
      </c>
      <c r="B374" s="35" t="s">
        <v>503</v>
      </c>
      <c r="C374" s="34" t="s">
        <v>504</v>
      </c>
      <c r="D374" s="34" t="s">
        <v>782</v>
      </c>
      <c r="E374" s="34" t="s">
        <v>771</v>
      </c>
      <c r="F374" s="54" t="s">
        <v>848</v>
      </c>
      <c r="G374" s="34"/>
    </row>
    <row r="375" spans="1:7" x14ac:dyDescent="0.3">
      <c r="A375" s="44">
        <v>374</v>
      </c>
      <c r="B375" s="35" t="s">
        <v>507</v>
      </c>
      <c r="C375" s="34" t="s">
        <v>508</v>
      </c>
      <c r="D375" s="34" t="s">
        <v>782</v>
      </c>
      <c r="E375" s="34" t="s">
        <v>771</v>
      </c>
      <c r="F375" s="54" t="s">
        <v>848</v>
      </c>
      <c r="G375" s="34"/>
    </row>
    <row r="376" spans="1:7" x14ac:dyDescent="0.3">
      <c r="A376" s="44">
        <v>375</v>
      </c>
      <c r="B376" s="35" t="s">
        <v>509</v>
      </c>
      <c r="C376" s="34" t="s">
        <v>510</v>
      </c>
      <c r="D376" s="34" t="s">
        <v>782</v>
      </c>
      <c r="E376" s="34" t="str">
        <f>_xlfn.XLOOKUP(Table1[[#This Row],[ID Equipo]],Hoja2!A:A,Hoja2!D:D,"NO SE ENCONTRO",0)</f>
        <v>UPS</v>
      </c>
      <c r="F376" s="54" t="s">
        <v>848</v>
      </c>
      <c r="G376" s="34"/>
    </row>
    <row r="377" spans="1:7" x14ac:dyDescent="0.3">
      <c r="A377" s="44">
        <v>376</v>
      </c>
      <c r="B377" s="35" t="s">
        <v>511</v>
      </c>
      <c r="C377" s="34" t="s">
        <v>512</v>
      </c>
      <c r="D377" s="34" t="s">
        <v>782</v>
      </c>
      <c r="E377" s="34" t="str">
        <f>_xlfn.XLOOKUP(Table1[[#This Row],[ID Equipo]],Hoja2!A:A,Hoja2!D:D,"NO SE ENCONTRO",0)</f>
        <v>UPS</v>
      </c>
      <c r="F377" s="54" t="s">
        <v>848</v>
      </c>
      <c r="G377" s="34"/>
    </row>
    <row r="378" spans="1:7" x14ac:dyDescent="0.3">
      <c r="A378" s="44">
        <v>377</v>
      </c>
      <c r="B378" s="40" t="s">
        <v>517</v>
      </c>
      <c r="C378" s="39" t="s">
        <v>516</v>
      </c>
      <c r="D378" s="39" t="s">
        <v>652</v>
      </c>
      <c r="E378" s="39" t="str">
        <f>_xlfn.XLOOKUP(Table1[[#This Row],[ID Equipo]],Hoja2!A:A,Hoja2!D:D,"NO SE ENCONTRO",0)</f>
        <v>COMPUTADORA DE ESCRITORIO</v>
      </c>
      <c r="F378" s="77" t="s">
        <v>848</v>
      </c>
      <c r="G378" s="39"/>
    </row>
    <row r="379" spans="1:7" x14ac:dyDescent="0.3">
      <c r="A379" s="44">
        <v>378</v>
      </c>
      <c r="B379" s="40" t="s">
        <v>518</v>
      </c>
      <c r="C379" s="39" t="s">
        <v>516</v>
      </c>
      <c r="D379" s="39" t="s">
        <v>652</v>
      </c>
      <c r="E379" s="39" t="str">
        <f>_xlfn.XLOOKUP(Table1[[#This Row],[ID Equipo]],Hoja2!A:A,Hoja2!D:D,"NO SE ENCONTRO",0)</f>
        <v>UPS</v>
      </c>
      <c r="F379" s="77" t="s">
        <v>848</v>
      </c>
      <c r="G379" s="39"/>
    </row>
    <row r="380" spans="1:7" x14ac:dyDescent="0.3">
      <c r="A380" s="44">
        <v>379</v>
      </c>
      <c r="B380" s="40" t="s">
        <v>520</v>
      </c>
      <c r="C380" s="39" t="s">
        <v>519</v>
      </c>
      <c r="D380" s="39" t="s">
        <v>652</v>
      </c>
      <c r="E380" s="39" t="s">
        <v>770</v>
      </c>
      <c r="F380" s="77" t="s">
        <v>848</v>
      </c>
      <c r="G380" s="39"/>
    </row>
    <row r="381" spans="1:7" x14ac:dyDescent="0.3">
      <c r="A381" s="44">
        <v>380</v>
      </c>
      <c r="B381" s="40" t="s">
        <v>524</v>
      </c>
      <c r="C381" s="39" t="s">
        <v>519</v>
      </c>
      <c r="D381" s="39" t="s">
        <v>652</v>
      </c>
      <c r="E381" s="39" t="s">
        <v>771</v>
      </c>
      <c r="F381" s="77" t="s">
        <v>848</v>
      </c>
      <c r="G381" s="39"/>
    </row>
    <row r="382" spans="1:7" x14ac:dyDescent="0.3">
      <c r="A382" s="44">
        <v>381</v>
      </c>
      <c r="B382" s="40" t="s">
        <v>522</v>
      </c>
      <c r="C382" s="39" t="s">
        <v>521</v>
      </c>
      <c r="D382" s="39" t="s">
        <v>652</v>
      </c>
      <c r="E382" s="39" t="s">
        <v>770</v>
      </c>
      <c r="F382" s="77" t="s">
        <v>848</v>
      </c>
      <c r="G382" s="39"/>
    </row>
    <row r="383" spans="1:7" x14ac:dyDescent="0.3">
      <c r="A383" s="44">
        <v>382</v>
      </c>
      <c r="B383" s="40" t="s">
        <v>523</v>
      </c>
      <c r="C383" s="39" t="s">
        <v>521</v>
      </c>
      <c r="D383" s="39" t="s">
        <v>652</v>
      </c>
      <c r="E383" s="39" t="str">
        <f>_xlfn.XLOOKUP(Table1[[#This Row],[ID Equipo]],Hoja2!A:A,Hoja2!D:D,"NO SE ENCONTRO",0)</f>
        <v>UPS</v>
      </c>
      <c r="F383" s="77" t="s">
        <v>848</v>
      </c>
      <c r="G383" s="39"/>
    </row>
    <row r="384" spans="1:7" x14ac:dyDescent="0.3">
      <c r="A384" s="44">
        <v>383</v>
      </c>
      <c r="B384" s="29" t="s">
        <v>610</v>
      </c>
      <c r="C384" s="28" t="s">
        <v>779</v>
      </c>
      <c r="D384" s="28" t="s">
        <v>657</v>
      </c>
      <c r="E384" s="28" t="s">
        <v>770</v>
      </c>
      <c r="F384" s="78" t="s">
        <v>848</v>
      </c>
      <c r="G384" s="28"/>
    </row>
    <row r="385" spans="1:7" x14ac:dyDescent="0.3">
      <c r="A385" s="44">
        <v>384</v>
      </c>
      <c r="B385" s="29" t="s">
        <v>612</v>
      </c>
      <c r="C385" s="28" t="s">
        <v>779</v>
      </c>
      <c r="D385" s="28" t="s">
        <v>657</v>
      </c>
      <c r="E385" s="28" t="s">
        <v>772</v>
      </c>
      <c r="F385" s="78" t="s">
        <v>848</v>
      </c>
      <c r="G385" s="28"/>
    </row>
    <row r="386" spans="1:7" x14ac:dyDescent="0.3">
      <c r="A386" s="44">
        <v>385</v>
      </c>
      <c r="B386" s="32" t="s">
        <v>614</v>
      </c>
      <c r="C386" s="28" t="s">
        <v>779</v>
      </c>
      <c r="D386" s="28" t="s">
        <v>657</v>
      </c>
      <c r="E386" s="28" t="s">
        <v>771</v>
      </c>
      <c r="F386" s="78" t="s">
        <v>848</v>
      </c>
      <c r="G386" s="28"/>
    </row>
    <row r="387" spans="1:7" x14ac:dyDescent="0.3">
      <c r="A387" s="44">
        <v>386</v>
      </c>
      <c r="B387" s="28" t="s">
        <v>611</v>
      </c>
      <c r="C387" s="28" t="s">
        <v>780</v>
      </c>
      <c r="D387" s="28" t="s">
        <v>657</v>
      </c>
      <c r="E387" s="28" t="s">
        <v>770</v>
      </c>
      <c r="F387" s="78" t="s">
        <v>848</v>
      </c>
      <c r="G387" s="28"/>
    </row>
    <row r="388" spans="1:7" x14ac:dyDescent="0.3">
      <c r="A388" s="44">
        <v>387</v>
      </c>
      <c r="B388" s="29" t="s">
        <v>613</v>
      </c>
      <c r="C388" s="28" t="s">
        <v>780</v>
      </c>
      <c r="D388" s="28" t="s">
        <v>657</v>
      </c>
      <c r="E388" s="28" t="s">
        <v>772</v>
      </c>
      <c r="F388" s="78" t="s">
        <v>848</v>
      </c>
      <c r="G388" s="28"/>
    </row>
    <row r="389" spans="1:7" x14ac:dyDescent="0.3">
      <c r="A389" s="44">
        <v>388</v>
      </c>
      <c r="B389" s="32" t="s">
        <v>615</v>
      </c>
      <c r="C389" s="28" t="s">
        <v>780</v>
      </c>
      <c r="D389" s="28" t="s">
        <v>657</v>
      </c>
      <c r="E389" s="28" t="s">
        <v>771</v>
      </c>
      <c r="F389" s="78" t="s">
        <v>848</v>
      </c>
      <c r="G389" s="28"/>
    </row>
    <row r="390" spans="1:7" x14ac:dyDescent="0.3">
      <c r="A390" s="44">
        <v>389</v>
      </c>
      <c r="B390" s="40" t="s">
        <v>526</v>
      </c>
      <c r="C390" s="39" t="s">
        <v>525</v>
      </c>
      <c r="D390" s="39" t="s">
        <v>652</v>
      </c>
      <c r="E390" s="39" t="str">
        <f>_xlfn.XLOOKUP(Table1[[#This Row],[ID Equipo]],Hoja2!A:A,Hoja2!D:D,"NO SE ENCONTRO",0)</f>
        <v>COMPUTADORA DE ESCRITORIO</v>
      </c>
      <c r="F390" s="77" t="s">
        <v>848</v>
      </c>
      <c r="G390" s="39"/>
    </row>
    <row r="391" spans="1:7" x14ac:dyDescent="0.3">
      <c r="A391" s="44">
        <v>390</v>
      </c>
      <c r="B391" s="40" t="s">
        <v>527</v>
      </c>
      <c r="C391" s="39" t="s">
        <v>525</v>
      </c>
      <c r="D391" s="39" t="s">
        <v>652</v>
      </c>
      <c r="E391" s="39" t="str">
        <f>_xlfn.XLOOKUP(Table1[[#This Row],[ID Equipo]],Hoja2!A:A,Hoja2!D:D,"NO SE ENCONTRO",0)</f>
        <v>UPS</v>
      </c>
      <c r="F391" s="77" t="s">
        <v>848</v>
      </c>
      <c r="G391" s="39"/>
    </row>
    <row r="392" spans="1:7" x14ac:dyDescent="0.3">
      <c r="A392" s="44">
        <v>391</v>
      </c>
      <c r="B392" s="40" t="s">
        <v>223</v>
      </c>
      <c r="C392" s="39" t="s">
        <v>528</v>
      </c>
      <c r="D392" s="39" t="s">
        <v>652</v>
      </c>
      <c r="E392" s="39" t="str">
        <f>_xlfn.XLOOKUP(Table1[[#This Row],[ID Equipo]],Hoja2!A:A,Hoja2!D:D,"NO SE ENCONTRO",0)</f>
        <v>COMPUTADORA DE ESCRITORIO</v>
      </c>
      <c r="F392" s="77" t="s">
        <v>848</v>
      </c>
      <c r="G392" s="39"/>
    </row>
    <row r="393" spans="1:7" x14ac:dyDescent="0.3">
      <c r="A393" s="44">
        <v>392</v>
      </c>
      <c r="B393" s="40" t="s">
        <v>529</v>
      </c>
      <c r="C393" s="39" t="s">
        <v>528</v>
      </c>
      <c r="D393" s="39" t="s">
        <v>652</v>
      </c>
      <c r="E393" s="39" t="str">
        <f>_xlfn.XLOOKUP(Table1[[#This Row],[ID Equipo]],Hoja2!A:A,Hoja2!D:D,"NO SE ENCONTRO",0)</f>
        <v>UPS</v>
      </c>
      <c r="F393" s="77" t="s">
        <v>848</v>
      </c>
      <c r="G393" s="39"/>
    </row>
    <row r="394" spans="1:7" x14ac:dyDescent="0.3">
      <c r="A394" s="44">
        <v>393</v>
      </c>
      <c r="B394" s="27" t="s">
        <v>513</v>
      </c>
      <c r="C394" s="26" t="s">
        <v>833</v>
      </c>
      <c r="D394" s="26" t="s">
        <v>775</v>
      </c>
      <c r="E394" s="26" t="str">
        <f>_xlfn.XLOOKUP(Table1[[#This Row],[ID Equipo]],Hoja2!A:A,Hoja2!D:D,"NO SE ENCONTRO",0)</f>
        <v>COMPUTADORA DE ESCRITORIO</v>
      </c>
      <c r="F394" s="79" t="s">
        <v>848</v>
      </c>
      <c r="G394" s="26" t="s">
        <v>832</v>
      </c>
    </row>
    <row r="395" spans="1:7" x14ac:dyDescent="0.3">
      <c r="A395" s="44">
        <v>394</v>
      </c>
      <c r="B395" s="27" t="s">
        <v>589</v>
      </c>
      <c r="C395" s="26" t="s">
        <v>834</v>
      </c>
      <c r="D395" s="26" t="s">
        <v>775</v>
      </c>
      <c r="E395" s="26" t="str">
        <f>_xlfn.XLOOKUP(Table1[[#This Row],[ID Equipo]],Hoja2!A:A,Hoja2!D:D,"NO SE ENCONTRO",0)</f>
        <v>COMPUTADORA DE ESCRITORIO</v>
      </c>
      <c r="F395" s="79" t="s">
        <v>848</v>
      </c>
      <c r="G395" s="26" t="s">
        <v>832</v>
      </c>
    </row>
    <row r="396" spans="1:7" x14ac:dyDescent="0.3">
      <c r="A396" s="44">
        <v>395</v>
      </c>
      <c r="B396" s="27" t="s">
        <v>588</v>
      </c>
      <c r="C396" s="26" t="s">
        <v>835</v>
      </c>
      <c r="D396" s="26" t="s">
        <v>775</v>
      </c>
      <c r="E396" s="26" t="str">
        <f>_xlfn.XLOOKUP(Table1[[#This Row],[ID Equipo]],Hoja2!A:A,Hoja2!D:D,"NO SE ENCONTRO",0)</f>
        <v>COMPUTADORA DE ESCRITORIO</v>
      </c>
      <c r="F396" s="79" t="s">
        <v>848</v>
      </c>
      <c r="G396" s="26" t="s">
        <v>832</v>
      </c>
    </row>
    <row r="397" spans="1:7" x14ac:dyDescent="0.3">
      <c r="A397" s="44">
        <v>396</v>
      </c>
      <c r="B397" s="27" t="s">
        <v>536</v>
      </c>
      <c r="C397" s="26" t="s">
        <v>831</v>
      </c>
      <c r="D397" s="26" t="s">
        <v>775</v>
      </c>
      <c r="E397" s="26" t="s">
        <v>772</v>
      </c>
      <c r="F397" s="79" t="s">
        <v>848</v>
      </c>
      <c r="G397" s="26"/>
    </row>
    <row r="398" spans="1:7" x14ac:dyDescent="0.3">
      <c r="A398" s="44">
        <v>397</v>
      </c>
      <c r="B398" s="27" t="s">
        <v>587</v>
      </c>
      <c r="C398" s="26" t="s">
        <v>830</v>
      </c>
      <c r="D398" s="26" t="s">
        <v>775</v>
      </c>
      <c r="E398" s="26" t="s">
        <v>772</v>
      </c>
      <c r="F398" s="79" t="s">
        <v>848</v>
      </c>
      <c r="G398" s="26"/>
    </row>
    <row r="399" spans="1:7" x14ac:dyDescent="0.3">
      <c r="A399" s="44">
        <v>398</v>
      </c>
      <c r="B399" s="35" t="s">
        <v>544</v>
      </c>
      <c r="C399" s="34" t="s">
        <v>545</v>
      </c>
      <c r="D399" s="34" t="s">
        <v>782</v>
      </c>
      <c r="E399" s="34" t="s">
        <v>770</v>
      </c>
      <c r="F399" s="54" t="s">
        <v>848</v>
      </c>
      <c r="G399" s="34"/>
    </row>
    <row r="400" spans="1:7" x14ac:dyDescent="0.3">
      <c r="A400" s="44">
        <v>399</v>
      </c>
      <c r="B400" s="36" t="s">
        <v>597</v>
      </c>
      <c r="C400" s="31" t="s">
        <v>549</v>
      </c>
      <c r="D400" s="31" t="s">
        <v>776</v>
      </c>
      <c r="E400" s="31" t="s">
        <v>772</v>
      </c>
      <c r="F400" s="80" t="s">
        <v>848</v>
      </c>
      <c r="G400" s="31" t="s">
        <v>824</v>
      </c>
    </row>
    <row r="401" spans="1:7" x14ac:dyDescent="0.3">
      <c r="A401" s="44">
        <v>400</v>
      </c>
      <c r="B401" s="36" t="s">
        <v>481</v>
      </c>
      <c r="C401" s="31" t="s">
        <v>829</v>
      </c>
      <c r="D401" s="31" t="s">
        <v>776</v>
      </c>
      <c r="E401" s="31" t="str">
        <f>_xlfn.XLOOKUP(Table1[[#This Row],[ID Equipo]],Hoja2!A:A,Hoja2!D:D,"NO SE ENCONTRO",0)</f>
        <v>COMPUTADORA DE ESCRITORIO</v>
      </c>
      <c r="F401" s="80" t="s">
        <v>848</v>
      </c>
      <c r="G401" s="31" t="s">
        <v>824</v>
      </c>
    </row>
    <row r="402" spans="1:7" x14ac:dyDescent="0.3">
      <c r="A402" s="44">
        <v>401</v>
      </c>
      <c r="B402" s="36" t="s">
        <v>590</v>
      </c>
      <c r="C402" s="31" t="s">
        <v>829</v>
      </c>
      <c r="D402" s="31" t="s">
        <v>776</v>
      </c>
      <c r="E402" s="31" t="str">
        <f>_xlfn.XLOOKUP(Table1[[#This Row],[ID Equipo]],Hoja2!A:A,Hoja2!D:D,"NO SE ENCONTRO",0)</f>
        <v>COMPUTADORA DE ESCRITORIO</v>
      </c>
      <c r="F402" s="80" t="s">
        <v>848</v>
      </c>
      <c r="G402" s="31" t="s">
        <v>824</v>
      </c>
    </row>
    <row r="403" spans="1:7" x14ac:dyDescent="0.3">
      <c r="A403" s="44">
        <v>402</v>
      </c>
      <c r="B403" s="36" t="s">
        <v>598</v>
      </c>
      <c r="C403" s="31" t="s">
        <v>829</v>
      </c>
      <c r="D403" s="31" t="s">
        <v>776</v>
      </c>
      <c r="E403" s="31" t="s">
        <v>770</v>
      </c>
      <c r="F403" s="80" t="s">
        <v>848</v>
      </c>
      <c r="G403" s="31" t="s">
        <v>824</v>
      </c>
    </row>
    <row r="404" spans="1:7" x14ac:dyDescent="0.3">
      <c r="A404" s="44">
        <v>403</v>
      </c>
      <c r="B404" s="36" t="s">
        <v>586</v>
      </c>
      <c r="C404" s="31" t="s">
        <v>1203</v>
      </c>
      <c r="D404" s="31" t="s">
        <v>651</v>
      </c>
      <c r="E404" s="31" t="s">
        <v>770</v>
      </c>
      <c r="F404" s="80" t="s">
        <v>848</v>
      </c>
      <c r="G404" s="31" t="s">
        <v>815</v>
      </c>
    </row>
    <row r="405" spans="1:7" x14ac:dyDescent="0.3">
      <c r="A405" s="44">
        <v>404</v>
      </c>
      <c r="B405" s="36" t="s">
        <v>605</v>
      </c>
      <c r="C405" s="31" t="s">
        <v>829</v>
      </c>
      <c r="D405" s="31" t="s">
        <v>776</v>
      </c>
      <c r="E405" s="31" t="s">
        <v>770</v>
      </c>
      <c r="F405" s="80" t="s">
        <v>848</v>
      </c>
      <c r="G405" s="31" t="s">
        <v>824</v>
      </c>
    </row>
    <row r="406" spans="1:7" x14ac:dyDescent="0.3">
      <c r="A406" s="44">
        <v>405</v>
      </c>
      <c r="B406" s="36" t="s">
        <v>607</v>
      </c>
      <c r="C406" s="31" t="s">
        <v>829</v>
      </c>
      <c r="D406" s="31" t="s">
        <v>776</v>
      </c>
      <c r="E406" s="31" t="str">
        <f>_xlfn.XLOOKUP(Table1[[#This Row],[ID Equipo]],Hoja2!A:A,Hoja2!D:D,"NO SE ENCONTRO",0)</f>
        <v>COMPUTADORA DE ESCRITORIO</v>
      </c>
      <c r="F406" s="80" t="s">
        <v>848</v>
      </c>
      <c r="G406" s="31" t="s">
        <v>824</v>
      </c>
    </row>
    <row r="407" spans="1:7" x14ac:dyDescent="0.3">
      <c r="A407" s="44">
        <v>406</v>
      </c>
      <c r="B407" s="36" t="s">
        <v>552</v>
      </c>
      <c r="C407" s="31" t="s">
        <v>827</v>
      </c>
      <c r="D407" s="31" t="s">
        <v>776</v>
      </c>
      <c r="E407" s="31" t="s">
        <v>771</v>
      </c>
      <c r="F407" s="80" t="s">
        <v>848</v>
      </c>
      <c r="G407" s="31" t="s">
        <v>824</v>
      </c>
    </row>
    <row r="408" spans="1:7" x14ac:dyDescent="0.3">
      <c r="A408" s="44">
        <v>407</v>
      </c>
      <c r="B408" s="36" t="s">
        <v>487</v>
      </c>
      <c r="C408" s="31" t="s">
        <v>827</v>
      </c>
      <c r="D408" s="31" t="s">
        <v>776</v>
      </c>
      <c r="E408" s="31" t="str">
        <f>_xlfn.XLOOKUP(Table1[[#This Row],[ID Equipo]],Hoja2!A:A,Hoja2!D:D,"NO SE ENCONTRO",0)</f>
        <v>UPS</v>
      </c>
      <c r="F408" s="80" t="s">
        <v>848</v>
      </c>
      <c r="G408" s="31" t="s">
        <v>824</v>
      </c>
    </row>
    <row r="409" spans="1:7" s="25" customFormat="1" x14ac:dyDescent="0.3">
      <c r="A409" s="44">
        <v>408</v>
      </c>
      <c r="B409" s="36" t="s">
        <v>553</v>
      </c>
      <c r="C409" s="31" t="s">
        <v>827</v>
      </c>
      <c r="D409" s="31" t="s">
        <v>776</v>
      </c>
      <c r="E409" s="31" t="str">
        <f>_xlfn.XLOOKUP(Table1[[#This Row],[ID Equipo]],Hoja2!A:A,Hoja2!D:D,"NO SE ENCONTRO",0)</f>
        <v>UPS</v>
      </c>
      <c r="F409" s="80" t="s">
        <v>848</v>
      </c>
      <c r="G409" s="31" t="s">
        <v>824</v>
      </c>
    </row>
    <row r="410" spans="1:7" x14ac:dyDescent="0.3">
      <c r="A410" s="44">
        <v>409</v>
      </c>
      <c r="B410" s="36" t="s">
        <v>548</v>
      </c>
      <c r="C410" s="31" t="s">
        <v>828</v>
      </c>
      <c r="D410" s="31" t="s">
        <v>776</v>
      </c>
      <c r="E410" s="31" t="str">
        <f>_xlfn.XLOOKUP(Table1[[#This Row],[ID Equipo]],Hoja2!A:A,Hoja2!D:D,"NO SE ENCONTRO",0)</f>
        <v>IMPRESORA TERMICA</v>
      </c>
      <c r="F410" s="80" t="s">
        <v>848</v>
      </c>
      <c r="G410" s="31" t="s">
        <v>824</v>
      </c>
    </row>
    <row r="411" spans="1:7" x14ac:dyDescent="0.3">
      <c r="A411" s="44">
        <v>410</v>
      </c>
      <c r="B411" s="36" t="s">
        <v>592</v>
      </c>
      <c r="C411" s="31" t="s">
        <v>828</v>
      </c>
      <c r="D411" s="31" t="s">
        <v>776</v>
      </c>
      <c r="E411" s="31" t="str">
        <f>_xlfn.XLOOKUP(Table1[[#This Row],[ID Equipo]],Hoja2!A:A,Hoja2!D:D,"NO SE ENCONTRO",0)</f>
        <v>IMPRESORA TERMICA</v>
      </c>
      <c r="F411" s="80" t="s">
        <v>848</v>
      </c>
      <c r="G411" s="31" t="s">
        <v>824</v>
      </c>
    </row>
    <row r="412" spans="1:7" x14ac:dyDescent="0.3">
      <c r="A412" s="44">
        <v>411</v>
      </c>
      <c r="B412" s="36" t="s">
        <v>283</v>
      </c>
      <c r="C412" s="31" t="s">
        <v>828</v>
      </c>
      <c r="D412" s="31" t="s">
        <v>776</v>
      </c>
      <c r="E412" s="31" t="str">
        <f>_xlfn.XLOOKUP(Table1[[#This Row],[ID Equipo]],Hoja2!A:A,Hoja2!D:D,"NO SE ENCONTRO",0)</f>
        <v>IMPRESORA TERMICA</v>
      </c>
      <c r="F412" s="80" t="s">
        <v>848</v>
      </c>
      <c r="G412" s="31" t="s">
        <v>824</v>
      </c>
    </row>
    <row r="413" spans="1:7" x14ac:dyDescent="0.3">
      <c r="A413" s="44">
        <v>412</v>
      </c>
      <c r="B413" s="36" t="s">
        <v>609</v>
      </c>
      <c r="C413" s="31" t="s">
        <v>828</v>
      </c>
      <c r="D413" s="31" t="s">
        <v>776</v>
      </c>
      <c r="E413" s="31" t="str">
        <f>_xlfn.XLOOKUP(Table1[[#This Row],[ID Equipo]],Hoja2!A:A,Hoja2!D:D,"NO SE ENCONTRO",0)</f>
        <v>IMPRESORA TERMICA</v>
      </c>
      <c r="F413" s="80" t="s">
        <v>848</v>
      </c>
      <c r="G413" s="31" t="s">
        <v>824</v>
      </c>
    </row>
    <row r="414" spans="1:7" x14ac:dyDescent="0.3">
      <c r="A414" s="44">
        <v>413</v>
      </c>
      <c r="B414" s="37" t="s">
        <v>638</v>
      </c>
      <c r="C414" s="31" t="s">
        <v>828</v>
      </c>
      <c r="D414" s="31" t="s">
        <v>776</v>
      </c>
      <c r="E414" s="31" t="s">
        <v>770</v>
      </c>
      <c r="F414" s="80" t="s">
        <v>848</v>
      </c>
      <c r="G414" s="31" t="s">
        <v>824</v>
      </c>
    </row>
    <row r="415" spans="1:7" x14ac:dyDescent="0.3">
      <c r="A415" s="44">
        <v>414</v>
      </c>
      <c r="B415" s="40" t="s">
        <v>554</v>
      </c>
      <c r="C415" s="39" t="s">
        <v>555</v>
      </c>
      <c r="D415" s="39" t="s">
        <v>652</v>
      </c>
      <c r="E415" s="39" t="str">
        <f>_xlfn.XLOOKUP(Table1[[#This Row],[ID Equipo]],Hoja2!A:A,Hoja2!D:D,"NO SE ENCONTRO",0)</f>
        <v>COMPUTADORA DE ESCRITORIO</v>
      </c>
      <c r="F415" s="77" t="s">
        <v>848</v>
      </c>
      <c r="G415" s="39"/>
    </row>
    <row r="416" spans="1:7" x14ac:dyDescent="0.3">
      <c r="A416" s="44">
        <v>415</v>
      </c>
      <c r="B416" s="40" t="s">
        <v>556</v>
      </c>
      <c r="C416" s="39" t="s">
        <v>555</v>
      </c>
      <c r="D416" s="39" t="s">
        <v>652</v>
      </c>
      <c r="E416" s="39" t="str">
        <f>_xlfn.XLOOKUP(Table1[[#This Row],[ID Equipo]],Hoja2!A:A,Hoja2!D:D,"NO SE ENCONTRO",0)</f>
        <v>UPS</v>
      </c>
      <c r="F416" s="77" t="s">
        <v>848</v>
      </c>
      <c r="G416" s="39"/>
    </row>
    <row r="417" spans="1:7" x14ac:dyDescent="0.3">
      <c r="A417" s="44">
        <v>416</v>
      </c>
      <c r="B417" s="40" t="s">
        <v>558</v>
      </c>
      <c r="C417" s="39" t="s">
        <v>557</v>
      </c>
      <c r="D417" s="39" t="s">
        <v>652</v>
      </c>
      <c r="E417" s="39" t="str">
        <f>_xlfn.XLOOKUP(Table1[[#This Row],[ID Equipo]],Hoja2!A:A,Hoja2!D:D,"NO SE ENCONTRO",0)</f>
        <v>COMPUTADORA DE ESCRITORIO</v>
      </c>
      <c r="F417" s="77" t="s">
        <v>848</v>
      </c>
      <c r="G417" s="39"/>
    </row>
    <row r="418" spans="1:7" x14ac:dyDescent="0.3">
      <c r="A418" s="44">
        <v>417</v>
      </c>
      <c r="B418" s="40" t="s">
        <v>559</v>
      </c>
      <c r="C418" s="39" t="s">
        <v>557</v>
      </c>
      <c r="D418" s="39" t="s">
        <v>652</v>
      </c>
      <c r="E418" s="39" t="str">
        <f>_xlfn.XLOOKUP(Table1[[#This Row],[ID Equipo]],Hoja2!A:A,Hoja2!D:D,"NO SE ENCONTRO",0)</f>
        <v>UPS</v>
      </c>
      <c r="F418" s="77" t="s">
        <v>848</v>
      </c>
      <c r="G418" s="39"/>
    </row>
    <row r="419" spans="1:7" x14ac:dyDescent="0.3">
      <c r="A419" s="44">
        <v>418</v>
      </c>
      <c r="B419" s="45" t="s">
        <v>561</v>
      </c>
      <c r="C419" s="44" t="s">
        <v>560</v>
      </c>
      <c r="D419" s="44" t="s">
        <v>651</v>
      </c>
      <c r="E419" s="44" t="str">
        <f>_xlfn.XLOOKUP(Table1[[#This Row],[ID Equipo]],Hoja2!A:A,Hoja2!D:D,"NO SE ENCONTRO",0)</f>
        <v>COMPUTADORA DE ESCRITORIO</v>
      </c>
      <c r="F419" s="76" t="s">
        <v>848</v>
      </c>
      <c r="G419" s="44"/>
    </row>
    <row r="420" spans="1:7" x14ac:dyDescent="0.3">
      <c r="A420" s="44">
        <v>419</v>
      </c>
      <c r="B420" s="45" t="s">
        <v>562</v>
      </c>
      <c r="C420" s="44" t="s">
        <v>560</v>
      </c>
      <c r="D420" s="44" t="s">
        <v>651</v>
      </c>
      <c r="E420" s="44" t="str">
        <f>_xlfn.XLOOKUP(Table1[[#This Row],[ID Equipo]],Hoja2!A:A,Hoja2!D:D,"NO SE ENCONTRO",0)</f>
        <v>UPS</v>
      </c>
      <c r="F420" s="76" t="s">
        <v>848</v>
      </c>
      <c r="G420" s="44"/>
    </row>
    <row r="421" spans="1:7" x14ac:dyDescent="0.3">
      <c r="A421" s="44">
        <v>420</v>
      </c>
      <c r="B421" s="35" t="s">
        <v>564</v>
      </c>
      <c r="C421" s="34" t="s">
        <v>563</v>
      </c>
      <c r="D421" s="34" t="s">
        <v>782</v>
      </c>
      <c r="E421" s="34" t="s">
        <v>771</v>
      </c>
      <c r="F421" s="54" t="s">
        <v>848</v>
      </c>
      <c r="G421" s="34" t="s">
        <v>821</v>
      </c>
    </row>
    <row r="422" spans="1:7" x14ac:dyDescent="0.3">
      <c r="A422" s="44">
        <v>421</v>
      </c>
      <c r="B422" s="40" t="s">
        <v>566</v>
      </c>
      <c r="C422" s="39" t="s">
        <v>565</v>
      </c>
      <c r="D422" s="39" t="s">
        <v>652</v>
      </c>
      <c r="E422" s="39" t="str">
        <f>_xlfn.XLOOKUP(Table1[[#This Row],[ID Equipo]],Hoja2!A:A,Hoja2!D:D,"NO SE ENCONTRO",0)</f>
        <v>COMPUTADORA DE ESCRITORIO</v>
      </c>
      <c r="F422" s="77" t="s">
        <v>848</v>
      </c>
      <c r="G422" s="39"/>
    </row>
    <row r="423" spans="1:7" x14ac:dyDescent="0.3">
      <c r="A423" s="44">
        <v>422</v>
      </c>
      <c r="B423" s="40" t="s">
        <v>567</v>
      </c>
      <c r="C423" s="39" t="s">
        <v>565</v>
      </c>
      <c r="D423" s="39" t="s">
        <v>652</v>
      </c>
      <c r="E423" s="39" t="str">
        <f>_xlfn.XLOOKUP(Table1[[#This Row],[ID Equipo]],Hoja2!A:A,Hoja2!D:D,"NO SE ENCONTRO",0)</f>
        <v>UPS</v>
      </c>
      <c r="F423" s="77" t="s">
        <v>848</v>
      </c>
      <c r="G423" s="39"/>
    </row>
    <row r="424" spans="1:7" x14ac:dyDescent="0.3">
      <c r="A424" s="44">
        <v>423</v>
      </c>
      <c r="B424" s="40" t="s">
        <v>569</v>
      </c>
      <c r="C424" s="39" t="s">
        <v>568</v>
      </c>
      <c r="D424" s="39" t="s">
        <v>652</v>
      </c>
      <c r="E424" s="39" t="str">
        <f>_xlfn.XLOOKUP(Table1[[#This Row],[ID Equipo]],Hoja2!A:A,Hoja2!D:D,"NO SE ENCONTRO",0)</f>
        <v>COMPUTADORA DE ESCRITORIO</v>
      </c>
      <c r="F424" s="77" t="s">
        <v>848</v>
      </c>
      <c r="G424" s="39"/>
    </row>
    <row r="425" spans="1:7" x14ac:dyDescent="0.3">
      <c r="A425" s="44">
        <v>424</v>
      </c>
      <c r="B425" s="40" t="s">
        <v>596</v>
      </c>
      <c r="C425" s="39" t="s">
        <v>568</v>
      </c>
      <c r="D425" s="39" t="s">
        <v>652</v>
      </c>
      <c r="E425" s="39" t="s">
        <v>771</v>
      </c>
      <c r="F425" s="77" t="s">
        <v>848</v>
      </c>
      <c r="G425" s="39"/>
    </row>
    <row r="426" spans="1:7" x14ac:dyDescent="0.3">
      <c r="A426" s="44">
        <v>425</v>
      </c>
      <c r="B426" s="35" t="s">
        <v>572</v>
      </c>
      <c r="C426" s="34" t="s">
        <v>571</v>
      </c>
      <c r="D426" s="34" t="s">
        <v>782</v>
      </c>
      <c r="E426" s="34" t="s">
        <v>771</v>
      </c>
      <c r="F426" s="54" t="s">
        <v>848</v>
      </c>
      <c r="G426" s="34"/>
    </row>
    <row r="427" spans="1:7" x14ac:dyDescent="0.3">
      <c r="A427" s="44">
        <v>426</v>
      </c>
      <c r="B427" s="35" t="s">
        <v>574</v>
      </c>
      <c r="C427" s="34" t="s">
        <v>573</v>
      </c>
      <c r="D427" s="34" t="s">
        <v>782</v>
      </c>
      <c r="E427" s="34" t="s">
        <v>771</v>
      </c>
      <c r="F427" s="54" t="s">
        <v>848</v>
      </c>
      <c r="G427" s="34"/>
    </row>
    <row r="428" spans="1:7" x14ac:dyDescent="0.3">
      <c r="A428" s="44">
        <v>427</v>
      </c>
      <c r="B428" s="35" t="s">
        <v>576</v>
      </c>
      <c r="C428" s="34" t="s">
        <v>575</v>
      </c>
      <c r="D428" s="34" t="s">
        <v>782</v>
      </c>
      <c r="E428" s="34" t="s">
        <v>771</v>
      </c>
      <c r="F428" s="54" t="s">
        <v>848</v>
      </c>
      <c r="G428" s="34"/>
    </row>
    <row r="429" spans="1:7" x14ac:dyDescent="0.3">
      <c r="A429" s="44">
        <v>428</v>
      </c>
      <c r="B429" s="35" t="s">
        <v>578</v>
      </c>
      <c r="C429" s="34" t="s">
        <v>577</v>
      </c>
      <c r="D429" s="34" t="s">
        <v>782</v>
      </c>
      <c r="E429" s="34" t="s">
        <v>771</v>
      </c>
      <c r="F429" s="54" t="s">
        <v>848</v>
      </c>
      <c r="G429" s="34"/>
    </row>
    <row r="430" spans="1:7" x14ac:dyDescent="0.3">
      <c r="A430" s="44">
        <v>429</v>
      </c>
      <c r="B430" s="35" t="s">
        <v>580</v>
      </c>
      <c r="C430" s="34" t="s">
        <v>579</v>
      </c>
      <c r="D430" s="34" t="s">
        <v>782</v>
      </c>
      <c r="E430" s="34" t="s">
        <v>771</v>
      </c>
      <c r="F430" s="54" t="s">
        <v>848</v>
      </c>
      <c r="G430" s="34"/>
    </row>
    <row r="431" spans="1:7" x14ac:dyDescent="0.3">
      <c r="A431" s="44">
        <v>430</v>
      </c>
      <c r="B431" s="35" t="s">
        <v>581</v>
      </c>
      <c r="C431" s="34" t="s">
        <v>579</v>
      </c>
      <c r="D431" s="34" t="s">
        <v>782</v>
      </c>
      <c r="E431" s="34" t="s">
        <v>771</v>
      </c>
      <c r="F431" s="54" t="s">
        <v>848</v>
      </c>
      <c r="G431" s="34"/>
    </row>
    <row r="432" spans="1:7" x14ac:dyDescent="0.3">
      <c r="A432" s="44">
        <v>431</v>
      </c>
      <c r="B432" s="35" t="s">
        <v>582</v>
      </c>
      <c r="C432" s="34" t="s">
        <v>579</v>
      </c>
      <c r="D432" s="34" t="s">
        <v>782</v>
      </c>
      <c r="E432" s="34" t="s">
        <v>771</v>
      </c>
      <c r="F432" s="54" t="s">
        <v>848</v>
      </c>
      <c r="G432" s="34"/>
    </row>
    <row r="433" spans="1:7" x14ac:dyDescent="0.3">
      <c r="A433" s="44">
        <v>432</v>
      </c>
      <c r="B433" s="62" t="s">
        <v>849</v>
      </c>
      <c r="C433" s="60" t="s">
        <v>850</v>
      </c>
      <c r="D433" s="28" t="s">
        <v>657</v>
      </c>
      <c r="E433" s="28" t="s">
        <v>770</v>
      </c>
      <c r="F433" s="78" t="s">
        <v>1135</v>
      </c>
      <c r="G433" s="75"/>
    </row>
    <row r="434" spans="1:7" x14ac:dyDescent="0.3">
      <c r="A434" s="44">
        <v>433</v>
      </c>
      <c r="B434" s="62" t="s">
        <v>851</v>
      </c>
      <c r="C434" s="60" t="s">
        <v>850</v>
      </c>
      <c r="D434" s="28" t="s">
        <v>657</v>
      </c>
      <c r="E434" s="28" t="s">
        <v>771</v>
      </c>
      <c r="F434" s="78" t="s">
        <v>1135</v>
      </c>
      <c r="G434" s="75"/>
    </row>
    <row r="435" spans="1:7" x14ac:dyDescent="0.3">
      <c r="A435" s="44">
        <v>434</v>
      </c>
      <c r="B435" s="62" t="s">
        <v>852</v>
      </c>
      <c r="C435" s="60" t="s">
        <v>850</v>
      </c>
      <c r="D435" s="28" t="s">
        <v>657</v>
      </c>
      <c r="E435" s="28" t="s">
        <v>772</v>
      </c>
      <c r="F435" s="78" t="s">
        <v>1135</v>
      </c>
      <c r="G435" s="75"/>
    </row>
    <row r="436" spans="1:7" x14ac:dyDescent="0.3">
      <c r="A436" s="44">
        <v>435</v>
      </c>
      <c r="B436" s="59" t="s">
        <v>853</v>
      </c>
      <c r="C436" s="39" t="s">
        <v>854</v>
      </c>
      <c r="D436" s="39" t="s">
        <v>652</v>
      </c>
      <c r="E436" s="39" t="s">
        <v>770</v>
      </c>
      <c r="F436" s="77" t="s">
        <v>1135</v>
      </c>
      <c r="G436" s="58"/>
    </row>
    <row r="437" spans="1:7" x14ac:dyDescent="0.3">
      <c r="A437" s="44">
        <v>436</v>
      </c>
      <c r="B437" s="59" t="s">
        <v>855</v>
      </c>
      <c r="C437" s="39" t="s">
        <v>854</v>
      </c>
      <c r="D437" s="39" t="s">
        <v>652</v>
      </c>
      <c r="E437" s="39" t="s">
        <v>771</v>
      </c>
      <c r="F437" s="77" t="s">
        <v>1135</v>
      </c>
      <c r="G437" s="58"/>
    </row>
    <row r="438" spans="1:7" x14ac:dyDescent="0.3">
      <c r="A438" s="44">
        <v>437</v>
      </c>
      <c r="B438" s="62" t="s">
        <v>856</v>
      </c>
      <c r="C438" s="60" t="s">
        <v>857</v>
      </c>
      <c r="D438" s="28" t="s">
        <v>657</v>
      </c>
      <c r="E438" s="28" t="s">
        <v>770</v>
      </c>
      <c r="F438" s="78" t="s">
        <v>1135</v>
      </c>
      <c r="G438" s="75"/>
    </row>
    <row r="439" spans="1:7" x14ac:dyDescent="0.3">
      <c r="A439" s="44">
        <v>438</v>
      </c>
      <c r="B439" s="62" t="s">
        <v>858</v>
      </c>
      <c r="C439" s="60" t="s">
        <v>857</v>
      </c>
      <c r="D439" s="28" t="s">
        <v>657</v>
      </c>
      <c r="E439" s="28" t="s">
        <v>771</v>
      </c>
      <c r="F439" s="78" t="s">
        <v>1135</v>
      </c>
      <c r="G439" s="75"/>
    </row>
    <row r="440" spans="1:7" x14ac:dyDescent="0.3">
      <c r="A440" s="44">
        <v>439</v>
      </c>
      <c r="B440" s="62" t="s">
        <v>859</v>
      </c>
      <c r="C440" s="60" t="s">
        <v>857</v>
      </c>
      <c r="D440" s="28" t="s">
        <v>657</v>
      </c>
      <c r="E440" s="28" t="s">
        <v>772</v>
      </c>
      <c r="F440" s="78" t="s">
        <v>1135</v>
      </c>
      <c r="G440" s="75"/>
    </row>
    <row r="441" spans="1:7" x14ac:dyDescent="0.3">
      <c r="A441" s="44">
        <v>440</v>
      </c>
      <c r="B441" s="63" t="s">
        <v>860</v>
      </c>
      <c r="C441" s="28" t="s">
        <v>861</v>
      </c>
      <c r="D441" s="28" t="s">
        <v>657</v>
      </c>
      <c r="E441" s="28" t="s">
        <v>770</v>
      </c>
      <c r="F441" s="78" t="s">
        <v>1135</v>
      </c>
      <c r="G441" s="75"/>
    </row>
    <row r="442" spans="1:7" x14ac:dyDescent="0.3">
      <c r="A442" s="44">
        <v>441</v>
      </c>
      <c r="B442" s="63" t="s">
        <v>862</v>
      </c>
      <c r="C442" s="28" t="s">
        <v>861</v>
      </c>
      <c r="D442" s="28" t="s">
        <v>657</v>
      </c>
      <c r="E442" s="28" t="s">
        <v>771</v>
      </c>
      <c r="F442" s="78" t="s">
        <v>1135</v>
      </c>
      <c r="G442" s="75"/>
    </row>
    <row r="443" spans="1:7" x14ac:dyDescent="0.3">
      <c r="A443" s="44">
        <v>442</v>
      </c>
      <c r="B443" s="63" t="s">
        <v>863</v>
      </c>
      <c r="C443" s="28" t="s">
        <v>861</v>
      </c>
      <c r="D443" s="28" t="s">
        <v>657</v>
      </c>
      <c r="E443" s="28" t="s">
        <v>772</v>
      </c>
      <c r="F443" s="78" t="s">
        <v>1135</v>
      </c>
      <c r="G443" s="75"/>
    </row>
    <row r="444" spans="1:7" x14ac:dyDescent="0.3">
      <c r="A444" s="44">
        <v>443</v>
      </c>
      <c r="B444" s="73" t="s">
        <v>864</v>
      </c>
      <c r="C444" s="74" t="s">
        <v>865</v>
      </c>
      <c r="D444" s="39" t="s">
        <v>652</v>
      </c>
      <c r="E444" s="39" t="s">
        <v>770</v>
      </c>
      <c r="F444" s="77" t="s">
        <v>1135</v>
      </c>
      <c r="G444" s="58"/>
    </row>
    <row r="445" spans="1:7" x14ac:dyDescent="0.3">
      <c r="A445" s="44">
        <v>444</v>
      </c>
      <c r="B445" s="73" t="s">
        <v>866</v>
      </c>
      <c r="C445" s="74" t="s">
        <v>865</v>
      </c>
      <c r="D445" s="39" t="s">
        <v>652</v>
      </c>
      <c r="E445" s="39" t="s">
        <v>771</v>
      </c>
      <c r="F445" s="77" t="s">
        <v>1135</v>
      </c>
      <c r="G445" s="58"/>
    </row>
    <row r="446" spans="1:7" x14ac:dyDescent="0.3">
      <c r="A446" s="44">
        <v>445</v>
      </c>
      <c r="B446" s="63" t="s">
        <v>867</v>
      </c>
      <c r="C446" s="28" t="s">
        <v>868</v>
      </c>
      <c r="D446" s="28" t="s">
        <v>657</v>
      </c>
      <c r="E446" s="28" t="s">
        <v>770</v>
      </c>
      <c r="F446" s="78" t="s">
        <v>1135</v>
      </c>
      <c r="G446" s="75"/>
    </row>
    <row r="447" spans="1:7" x14ac:dyDescent="0.3">
      <c r="A447" s="44">
        <v>446</v>
      </c>
      <c r="B447" s="63" t="s">
        <v>869</v>
      </c>
      <c r="C447" s="28" t="s">
        <v>868</v>
      </c>
      <c r="D447" s="28" t="s">
        <v>657</v>
      </c>
      <c r="E447" s="28" t="s">
        <v>771</v>
      </c>
      <c r="F447" s="78" t="s">
        <v>1135</v>
      </c>
      <c r="G447" s="75"/>
    </row>
    <row r="448" spans="1:7" x14ac:dyDescent="0.3">
      <c r="A448" s="44">
        <v>447</v>
      </c>
      <c r="B448" s="63" t="s">
        <v>870</v>
      </c>
      <c r="C448" s="28" t="s">
        <v>868</v>
      </c>
      <c r="D448" s="28" t="s">
        <v>657</v>
      </c>
      <c r="E448" s="28" t="s">
        <v>772</v>
      </c>
      <c r="F448" s="78" t="s">
        <v>1135</v>
      </c>
      <c r="G448" s="75"/>
    </row>
    <row r="449" spans="1:7" x14ac:dyDescent="0.3">
      <c r="A449" s="44">
        <v>448</v>
      </c>
      <c r="B449" s="62" t="s">
        <v>1200</v>
      </c>
      <c r="C449" s="60" t="s">
        <v>871</v>
      </c>
      <c r="D449" s="28" t="s">
        <v>657</v>
      </c>
      <c r="E449" s="28" t="s">
        <v>770</v>
      </c>
      <c r="F449" s="78" t="s">
        <v>1135</v>
      </c>
      <c r="G449" s="75"/>
    </row>
    <row r="450" spans="1:7" x14ac:dyDescent="0.3">
      <c r="A450" s="44">
        <v>449</v>
      </c>
      <c r="B450" s="62" t="s">
        <v>872</v>
      </c>
      <c r="C450" s="60" t="s">
        <v>871</v>
      </c>
      <c r="D450" s="28" t="s">
        <v>657</v>
      </c>
      <c r="E450" s="28" t="s">
        <v>771</v>
      </c>
      <c r="F450" s="78" t="s">
        <v>1135</v>
      </c>
      <c r="G450" s="75"/>
    </row>
    <row r="451" spans="1:7" x14ac:dyDescent="0.3">
      <c r="A451" s="44">
        <v>450</v>
      </c>
      <c r="B451" s="62" t="s">
        <v>873</v>
      </c>
      <c r="C451" s="60" t="s">
        <v>871</v>
      </c>
      <c r="D451" s="28" t="s">
        <v>657</v>
      </c>
      <c r="E451" s="28" t="s">
        <v>772</v>
      </c>
      <c r="F451" s="78" t="s">
        <v>1135</v>
      </c>
      <c r="G451" s="75"/>
    </row>
    <row r="452" spans="1:7" x14ac:dyDescent="0.3">
      <c r="A452" s="44">
        <v>451</v>
      </c>
      <c r="B452" s="63" t="s">
        <v>874</v>
      </c>
      <c r="C452" s="28" t="s">
        <v>875</v>
      </c>
      <c r="D452" s="28" t="s">
        <v>657</v>
      </c>
      <c r="E452" s="28" t="s">
        <v>770</v>
      </c>
      <c r="F452" s="78" t="s">
        <v>1135</v>
      </c>
      <c r="G452" s="75"/>
    </row>
    <row r="453" spans="1:7" x14ac:dyDescent="0.3">
      <c r="A453" s="44">
        <v>452</v>
      </c>
      <c r="B453" s="63" t="s">
        <v>876</v>
      </c>
      <c r="C453" s="28" t="s">
        <v>875</v>
      </c>
      <c r="D453" s="28" t="s">
        <v>657</v>
      </c>
      <c r="E453" s="28" t="s">
        <v>771</v>
      </c>
      <c r="F453" s="78" t="s">
        <v>1135</v>
      </c>
      <c r="G453" s="75"/>
    </row>
    <row r="454" spans="1:7" x14ac:dyDescent="0.3">
      <c r="A454" s="44">
        <v>453</v>
      </c>
      <c r="B454" s="63" t="s">
        <v>1064</v>
      </c>
      <c r="C454" s="28" t="s">
        <v>875</v>
      </c>
      <c r="D454" s="28" t="s">
        <v>657</v>
      </c>
      <c r="E454" s="28" t="s">
        <v>772</v>
      </c>
      <c r="F454" s="78" t="s">
        <v>1135</v>
      </c>
      <c r="G454" s="75"/>
    </row>
    <row r="455" spans="1:7" x14ac:dyDescent="0.3">
      <c r="A455" s="44">
        <v>454</v>
      </c>
      <c r="B455" s="62" t="s">
        <v>877</v>
      </c>
      <c r="C455" s="60" t="s">
        <v>878</v>
      </c>
      <c r="D455" s="28" t="s">
        <v>657</v>
      </c>
      <c r="E455" s="28" t="s">
        <v>770</v>
      </c>
      <c r="F455" s="78" t="s">
        <v>1135</v>
      </c>
      <c r="G455" s="75"/>
    </row>
    <row r="456" spans="1:7" x14ac:dyDescent="0.3">
      <c r="A456" s="44">
        <v>455</v>
      </c>
      <c r="B456" s="62" t="s">
        <v>879</v>
      </c>
      <c r="C456" s="60" t="s">
        <v>878</v>
      </c>
      <c r="D456" s="28" t="s">
        <v>657</v>
      </c>
      <c r="E456" s="28" t="s">
        <v>771</v>
      </c>
      <c r="F456" s="78" t="s">
        <v>1135</v>
      </c>
      <c r="G456" s="75"/>
    </row>
    <row r="457" spans="1:7" x14ac:dyDescent="0.3">
      <c r="A457" s="44">
        <v>456</v>
      </c>
      <c r="B457" s="62" t="s">
        <v>880</v>
      </c>
      <c r="C457" s="60" t="s">
        <v>878</v>
      </c>
      <c r="D457" s="28" t="s">
        <v>657</v>
      </c>
      <c r="E457" s="28" t="s">
        <v>772</v>
      </c>
      <c r="F457" s="78" t="s">
        <v>1135</v>
      </c>
      <c r="G457" s="75"/>
    </row>
    <row r="458" spans="1:7" x14ac:dyDescent="0.3">
      <c r="A458" s="44">
        <v>457</v>
      </c>
      <c r="B458" s="63" t="s">
        <v>881</v>
      </c>
      <c r="C458" s="28" t="s">
        <v>882</v>
      </c>
      <c r="D458" s="28" t="s">
        <v>657</v>
      </c>
      <c r="E458" s="28" t="s">
        <v>770</v>
      </c>
      <c r="F458" s="78" t="s">
        <v>1135</v>
      </c>
      <c r="G458" s="75"/>
    </row>
    <row r="459" spans="1:7" x14ac:dyDescent="0.3">
      <c r="A459" s="44">
        <v>458</v>
      </c>
      <c r="B459" s="63" t="s">
        <v>883</v>
      </c>
      <c r="C459" s="28" t="s">
        <v>882</v>
      </c>
      <c r="D459" s="28" t="s">
        <v>657</v>
      </c>
      <c r="E459" s="28" t="s">
        <v>771</v>
      </c>
      <c r="F459" s="78" t="s">
        <v>1135</v>
      </c>
      <c r="G459" s="75"/>
    </row>
    <row r="460" spans="1:7" x14ac:dyDescent="0.3">
      <c r="A460" s="44">
        <v>459</v>
      </c>
      <c r="B460" s="63" t="s">
        <v>884</v>
      </c>
      <c r="C460" s="28" t="s">
        <v>882</v>
      </c>
      <c r="D460" s="28" t="s">
        <v>657</v>
      </c>
      <c r="E460" s="28" t="s">
        <v>772</v>
      </c>
      <c r="F460" s="78" t="s">
        <v>1135</v>
      </c>
      <c r="G460" s="75"/>
    </row>
    <row r="461" spans="1:7" x14ac:dyDescent="0.3">
      <c r="A461" s="44">
        <v>460</v>
      </c>
      <c r="B461" s="62" t="s">
        <v>885</v>
      </c>
      <c r="C461" s="60" t="s">
        <v>886</v>
      </c>
      <c r="D461" s="28" t="s">
        <v>657</v>
      </c>
      <c r="E461" s="28" t="s">
        <v>770</v>
      </c>
      <c r="F461" s="78" t="s">
        <v>1135</v>
      </c>
      <c r="G461" s="75"/>
    </row>
    <row r="462" spans="1:7" x14ac:dyDescent="0.3">
      <c r="A462" s="44">
        <v>461</v>
      </c>
      <c r="B462" s="62" t="s">
        <v>887</v>
      </c>
      <c r="C462" s="60" t="s">
        <v>886</v>
      </c>
      <c r="D462" s="28" t="s">
        <v>657</v>
      </c>
      <c r="E462" s="28" t="s">
        <v>771</v>
      </c>
      <c r="F462" s="78" t="s">
        <v>1135</v>
      </c>
      <c r="G462" s="75"/>
    </row>
    <row r="463" spans="1:7" x14ac:dyDescent="0.3">
      <c r="A463" s="44">
        <v>462</v>
      </c>
      <c r="B463" s="62" t="s">
        <v>888</v>
      </c>
      <c r="C463" s="60" t="s">
        <v>886</v>
      </c>
      <c r="D463" s="28" t="s">
        <v>657</v>
      </c>
      <c r="E463" s="28" t="s">
        <v>772</v>
      </c>
      <c r="F463" s="78" t="s">
        <v>1135</v>
      </c>
      <c r="G463" s="75"/>
    </row>
    <row r="464" spans="1:7" x14ac:dyDescent="0.3">
      <c r="A464" s="44">
        <v>463</v>
      </c>
      <c r="B464" s="63" t="s">
        <v>889</v>
      </c>
      <c r="C464" s="28" t="s">
        <v>890</v>
      </c>
      <c r="D464" s="28" t="s">
        <v>657</v>
      </c>
      <c r="E464" s="28" t="s">
        <v>770</v>
      </c>
      <c r="F464" s="78" t="s">
        <v>1135</v>
      </c>
      <c r="G464" s="75"/>
    </row>
    <row r="465" spans="1:7" x14ac:dyDescent="0.3">
      <c r="A465" s="44">
        <v>464</v>
      </c>
      <c r="B465" s="63" t="s">
        <v>764</v>
      </c>
      <c r="C465" s="28" t="s">
        <v>890</v>
      </c>
      <c r="D465" s="28" t="s">
        <v>657</v>
      </c>
      <c r="E465" s="28" t="s">
        <v>771</v>
      </c>
      <c r="F465" s="78" t="s">
        <v>1135</v>
      </c>
      <c r="G465" s="75"/>
    </row>
    <row r="466" spans="1:7" x14ac:dyDescent="0.3">
      <c r="A466" s="44">
        <v>465</v>
      </c>
      <c r="B466" s="63" t="s">
        <v>891</v>
      </c>
      <c r="C466" s="28" t="s">
        <v>890</v>
      </c>
      <c r="D466" s="28" t="s">
        <v>657</v>
      </c>
      <c r="E466" s="28" t="s">
        <v>772</v>
      </c>
      <c r="F466" s="78" t="s">
        <v>1135</v>
      </c>
      <c r="G466" s="75"/>
    </row>
    <row r="467" spans="1:7" x14ac:dyDescent="0.3">
      <c r="A467" s="44">
        <v>466</v>
      </c>
      <c r="B467" s="62" t="s">
        <v>892</v>
      </c>
      <c r="C467" s="60" t="s">
        <v>893</v>
      </c>
      <c r="D467" s="28" t="s">
        <v>657</v>
      </c>
      <c r="E467" s="28" t="s">
        <v>770</v>
      </c>
      <c r="F467" s="78" t="s">
        <v>1135</v>
      </c>
      <c r="G467" s="75"/>
    </row>
    <row r="468" spans="1:7" x14ac:dyDescent="0.3">
      <c r="A468" s="44">
        <v>467</v>
      </c>
      <c r="B468" s="62" t="s">
        <v>749</v>
      </c>
      <c r="C468" s="60" t="s">
        <v>893</v>
      </c>
      <c r="D468" s="28" t="s">
        <v>657</v>
      </c>
      <c r="E468" s="28" t="s">
        <v>771</v>
      </c>
      <c r="F468" s="78" t="s">
        <v>1135</v>
      </c>
      <c r="G468" s="75"/>
    </row>
    <row r="469" spans="1:7" x14ac:dyDescent="0.3">
      <c r="A469" s="44">
        <v>468</v>
      </c>
      <c r="B469" s="62" t="s">
        <v>894</v>
      </c>
      <c r="C469" s="60" t="s">
        <v>893</v>
      </c>
      <c r="D469" s="28" t="s">
        <v>657</v>
      </c>
      <c r="E469" s="28" t="s">
        <v>772</v>
      </c>
      <c r="F469" s="78" t="s">
        <v>1135</v>
      </c>
      <c r="G469" s="75"/>
    </row>
    <row r="470" spans="1:7" x14ac:dyDescent="0.3">
      <c r="A470" s="44">
        <v>469</v>
      </c>
      <c r="B470" s="63" t="s">
        <v>895</v>
      </c>
      <c r="C470" s="28" t="s">
        <v>896</v>
      </c>
      <c r="D470" s="28" t="s">
        <v>657</v>
      </c>
      <c r="E470" s="28" t="s">
        <v>770</v>
      </c>
      <c r="F470" s="78" t="s">
        <v>1135</v>
      </c>
      <c r="G470" s="75"/>
    </row>
    <row r="471" spans="1:7" x14ac:dyDescent="0.3">
      <c r="A471" s="44">
        <v>470</v>
      </c>
      <c r="B471" s="63" t="s">
        <v>897</v>
      </c>
      <c r="C471" s="28" t="s">
        <v>896</v>
      </c>
      <c r="D471" s="28" t="s">
        <v>657</v>
      </c>
      <c r="E471" s="28" t="s">
        <v>771</v>
      </c>
      <c r="F471" s="78" t="s">
        <v>1135</v>
      </c>
      <c r="G471" s="75"/>
    </row>
    <row r="472" spans="1:7" x14ac:dyDescent="0.3">
      <c r="A472" s="44">
        <v>471</v>
      </c>
      <c r="B472" s="63" t="s">
        <v>898</v>
      </c>
      <c r="C472" s="28" t="s">
        <v>896</v>
      </c>
      <c r="D472" s="28" t="s">
        <v>657</v>
      </c>
      <c r="E472" s="28" t="s">
        <v>772</v>
      </c>
      <c r="F472" s="78" t="s">
        <v>1135</v>
      </c>
      <c r="G472" s="75"/>
    </row>
    <row r="473" spans="1:7" x14ac:dyDescent="0.3">
      <c r="A473" s="44">
        <v>472</v>
      </c>
      <c r="B473" s="62" t="s">
        <v>899</v>
      </c>
      <c r="C473" s="60" t="s">
        <v>900</v>
      </c>
      <c r="D473" s="28" t="s">
        <v>657</v>
      </c>
      <c r="E473" s="28" t="s">
        <v>770</v>
      </c>
      <c r="F473" s="78" t="s">
        <v>1135</v>
      </c>
      <c r="G473" s="75"/>
    </row>
    <row r="474" spans="1:7" x14ac:dyDescent="0.3">
      <c r="A474" s="44">
        <v>473</v>
      </c>
      <c r="B474" s="62" t="s">
        <v>901</v>
      </c>
      <c r="C474" s="60" t="s">
        <v>900</v>
      </c>
      <c r="D474" s="28" t="s">
        <v>657</v>
      </c>
      <c r="E474" s="28" t="s">
        <v>771</v>
      </c>
      <c r="F474" s="78" t="s">
        <v>1135</v>
      </c>
      <c r="G474" s="75"/>
    </row>
    <row r="475" spans="1:7" x14ac:dyDescent="0.3">
      <c r="A475" s="44">
        <v>474</v>
      </c>
      <c r="B475" s="62" t="s">
        <v>902</v>
      </c>
      <c r="C475" s="60" t="s">
        <v>900</v>
      </c>
      <c r="D475" s="28" t="s">
        <v>657</v>
      </c>
      <c r="E475" s="28" t="s">
        <v>772</v>
      </c>
      <c r="F475" s="78" t="s">
        <v>1135</v>
      </c>
      <c r="G475" s="75"/>
    </row>
    <row r="476" spans="1:7" x14ac:dyDescent="0.3">
      <c r="A476" s="44">
        <v>475</v>
      </c>
      <c r="B476" s="63" t="s">
        <v>903</v>
      </c>
      <c r="C476" s="28" t="s">
        <v>904</v>
      </c>
      <c r="D476" s="28" t="s">
        <v>657</v>
      </c>
      <c r="E476" s="28" t="s">
        <v>770</v>
      </c>
      <c r="F476" s="78" t="s">
        <v>1135</v>
      </c>
      <c r="G476" s="75"/>
    </row>
    <row r="477" spans="1:7" x14ac:dyDescent="0.3">
      <c r="A477" s="44">
        <v>476</v>
      </c>
      <c r="B477" s="63" t="s">
        <v>905</v>
      </c>
      <c r="C477" s="28" t="s">
        <v>904</v>
      </c>
      <c r="D477" s="28" t="s">
        <v>657</v>
      </c>
      <c r="E477" s="28" t="s">
        <v>771</v>
      </c>
      <c r="F477" s="78" t="s">
        <v>1135</v>
      </c>
      <c r="G477" s="75"/>
    </row>
    <row r="478" spans="1:7" x14ac:dyDescent="0.3">
      <c r="A478" s="44">
        <v>477</v>
      </c>
      <c r="B478" s="63" t="s">
        <v>616</v>
      </c>
      <c r="C478" s="28" t="s">
        <v>904</v>
      </c>
      <c r="D478" s="28" t="s">
        <v>657</v>
      </c>
      <c r="E478" s="28" t="s">
        <v>772</v>
      </c>
      <c r="F478" s="78" t="s">
        <v>1135</v>
      </c>
      <c r="G478" s="75"/>
    </row>
    <row r="479" spans="1:7" x14ac:dyDescent="0.3">
      <c r="A479" s="44">
        <v>478</v>
      </c>
      <c r="B479" s="62" t="s">
        <v>906</v>
      </c>
      <c r="C479" s="60" t="s">
        <v>907</v>
      </c>
      <c r="D479" s="28" t="s">
        <v>657</v>
      </c>
      <c r="E479" s="28" t="s">
        <v>770</v>
      </c>
      <c r="F479" s="78" t="s">
        <v>1135</v>
      </c>
      <c r="G479" s="75"/>
    </row>
    <row r="480" spans="1:7" x14ac:dyDescent="0.3">
      <c r="A480" s="44">
        <v>479</v>
      </c>
      <c r="B480" s="62" t="s">
        <v>767</v>
      </c>
      <c r="C480" s="60" t="s">
        <v>907</v>
      </c>
      <c r="D480" s="28" t="s">
        <v>657</v>
      </c>
      <c r="E480" s="28" t="s">
        <v>771</v>
      </c>
      <c r="F480" s="78" t="s">
        <v>1135</v>
      </c>
      <c r="G480" s="75"/>
    </row>
    <row r="481" spans="1:7" x14ac:dyDescent="0.3">
      <c r="A481" s="44">
        <v>480</v>
      </c>
      <c r="B481" s="62" t="s">
        <v>908</v>
      </c>
      <c r="C481" s="60" t="s">
        <v>907</v>
      </c>
      <c r="D481" s="28" t="s">
        <v>657</v>
      </c>
      <c r="E481" s="28" t="s">
        <v>772</v>
      </c>
      <c r="F481" s="78" t="s">
        <v>1135</v>
      </c>
      <c r="G481" s="75"/>
    </row>
    <row r="482" spans="1:7" x14ac:dyDescent="0.3">
      <c r="A482" s="44">
        <v>481</v>
      </c>
      <c r="B482" s="63" t="s">
        <v>909</v>
      </c>
      <c r="C482" s="28" t="s">
        <v>910</v>
      </c>
      <c r="D482" s="28" t="s">
        <v>657</v>
      </c>
      <c r="E482" s="28" t="s">
        <v>770</v>
      </c>
      <c r="F482" s="78" t="s">
        <v>1135</v>
      </c>
      <c r="G482" s="75"/>
    </row>
    <row r="483" spans="1:7" x14ac:dyDescent="0.3">
      <c r="A483" s="44">
        <v>482</v>
      </c>
      <c r="B483" s="63" t="s">
        <v>750</v>
      </c>
      <c r="C483" s="28" t="s">
        <v>910</v>
      </c>
      <c r="D483" s="28" t="s">
        <v>657</v>
      </c>
      <c r="E483" s="28" t="s">
        <v>771</v>
      </c>
      <c r="F483" s="78" t="s">
        <v>1135</v>
      </c>
      <c r="G483" s="75"/>
    </row>
    <row r="484" spans="1:7" x14ac:dyDescent="0.3">
      <c r="A484" s="44">
        <v>483</v>
      </c>
      <c r="B484" s="63" t="s">
        <v>911</v>
      </c>
      <c r="C484" s="28" t="s">
        <v>910</v>
      </c>
      <c r="D484" s="28" t="s">
        <v>657</v>
      </c>
      <c r="E484" s="28" t="s">
        <v>772</v>
      </c>
      <c r="F484" s="78" t="s">
        <v>1135</v>
      </c>
      <c r="G484" s="75"/>
    </row>
    <row r="485" spans="1:7" x14ac:dyDescent="0.3">
      <c r="A485" s="44">
        <v>484</v>
      </c>
      <c r="B485" s="62" t="s">
        <v>912</v>
      </c>
      <c r="C485" s="60" t="s">
        <v>913</v>
      </c>
      <c r="D485" s="28" t="s">
        <v>657</v>
      </c>
      <c r="E485" s="28" t="s">
        <v>770</v>
      </c>
      <c r="F485" s="78" t="s">
        <v>1135</v>
      </c>
      <c r="G485" s="75"/>
    </row>
    <row r="486" spans="1:7" x14ac:dyDescent="0.3">
      <c r="A486" s="44">
        <v>485</v>
      </c>
      <c r="B486" s="62" t="s">
        <v>914</v>
      </c>
      <c r="C486" s="60" t="s">
        <v>913</v>
      </c>
      <c r="D486" s="28" t="s">
        <v>657</v>
      </c>
      <c r="E486" s="28" t="s">
        <v>771</v>
      </c>
      <c r="F486" s="78" t="s">
        <v>1135</v>
      </c>
      <c r="G486" s="75"/>
    </row>
    <row r="487" spans="1:7" x14ac:dyDescent="0.3">
      <c r="A487" s="44">
        <v>486</v>
      </c>
      <c r="B487" s="62" t="s">
        <v>915</v>
      </c>
      <c r="C487" s="60" t="s">
        <v>913</v>
      </c>
      <c r="D487" s="28" t="s">
        <v>657</v>
      </c>
      <c r="E487" s="28" t="s">
        <v>772</v>
      </c>
      <c r="F487" s="78" t="s">
        <v>1135</v>
      </c>
      <c r="G487" s="75"/>
    </row>
    <row r="488" spans="1:7" x14ac:dyDescent="0.3">
      <c r="A488" s="44">
        <v>487</v>
      </c>
      <c r="B488" s="63" t="s">
        <v>916</v>
      </c>
      <c r="C488" s="28" t="s">
        <v>917</v>
      </c>
      <c r="D488" s="28" t="s">
        <v>657</v>
      </c>
      <c r="E488" s="28" t="s">
        <v>770</v>
      </c>
      <c r="F488" s="78" t="s">
        <v>1135</v>
      </c>
      <c r="G488" s="75"/>
    </row>
    <row r="489" spans="1:7" x14ac:dyDescent="0.3">
      <c r="A489" s="44">
        <v>488</v>
      </c>
      <c r="B489" s="63" t="s">
        <v>918</v>
      </c>
      <c r="C489" s="28" t="s">
        <v>917</v>
      </c>
      <c r="D489" s="28" t="s">
        <v>657</v>
      </c>
      <c r="E489" s="28" t="s">
        <v>771</v>
      </c>
      <c r="F489" s="78" t="s">
        <v>1135</v>
      </c>
      <c r="G489" s="75"/>
    </row>
    <row r="490" spans="1:7" x14ac:dyDescent="0.3">
      <c r="A490" s="44">
        <v>489</v>
      </c>
      <c r="B490" s="63" t="s">
        <v>919</v>
      </c>
      <c r="C490" s="28" t="s">
        <v>917</v>
      </c>
      <c r="D490" s="28" t="s">
        <v>657</v>
      </c>
      <c r="E490" s="28" t="s">
        <v>772</v>
      </c>
      <c r="F490" s="78" t="s">
        <v>1135</v>
      </c>
      <c r="G490" s="75"/>
    </row>
    <row r="491" spans="1:7" x14ac:dyDescent="0.3">
      <c r="A491" s="44">
        <v>490</v>
      </c>
      <c r="B491" s="62" t="s">
        <v>920</v>
      </c>
      <c r="C491" s="60" t="s">
        <v>921</v>
      </c>
      <c r="D491" s="28" t="s">
        <v>657</v>
      </c>
      <c r="E491" s="28" t="s">
        <v>770</v>
      </c>
      <c r="F491" s="78" t="s">
        <v>1135</v>
      </c>
      <c r="G491" s="75"/>
    </row>
    <row r="492" spans="1:7" x14ac:dyDescent="0.3">
      <c r="A492" s="44">
        <v>491</v>
      </c>
      <c r="B492" s="62" t="s">
        <v>922</v>
      </c>
      <c r="C492" s="60" t="s">
        <v>921</v>
      </c>
      <c r="D492" s="28" t="s">
        <v>657</v>
      </c>
      <c r="E492" s="28" t="s">
        <v>771</v>
      </c>
      <c r="F492" s="78" t="s">
        <v>1135</v>
      </c>
      <c r="G492" s="75"/>
    </row>
    <row r="493" spans="1:7" x14ac:dyDescent="0.3">
      <c r="A493" s="44">
        <v>492</v>
      </c>
      <c r="B493" s="62" t="s">
        <v>1065</v>
      </c>
      <c r="C493" s="60" t="s">
        <v>921</v>
      </c>
      <c r="D493" s="28" t="s">
        <v>657</v>
      </c>
      <c r="E493" s="28" t="s">
        <v>772</v>
      </c>
      <c r="F493" s="78" t="s">
        <v>1135</v>
      </c>
      <c r="G493" s="75"/>
    </row>
    <row r="494" spans="1:7" x14ac:dyDescent="0.3">
      <c r="A494" s="44">
        <v>493</v>
      </c>
      <c r="B494" s="55" t="s">
        <v>923</v>
      </c>
      <c r="C494" s="34" t="s">
        <v>924</v>
      </c>
      <c r="D494" s="34" t="s">
        <v>782</v>
      </c>
      <c r="E494" s="34" t="s">
        <v>771</v>
      </c>
      <c r="F494" s="54" t="s">
        <v>1135</v>
      </c>
      <c r="G494" s="56"/>
    </row>
    <row r="495" spans="1:7" x14ac:dyDescent="0.3">
      <c r="A495" s="44">
        <v>494</v>
      </c>
      <c r="B495" s="62" t="s">
        <v>925</v>
      </c>
      <c r="C495" s="60" t="s">
        <v>926</v>
      </c>
      <c r="D495" s="28" t="s">
        <v>657</v>
      </c>
      <c r="E495" s="28" t="s">
        <v>770</v>
      </c>
      <c r="F495" s="78" t="s">
        <v>1135</v>
      </c>
      <c r="G495" s="75"/>
    </row>
    <row r="496" spans="1:7" x14ac:dyDescent="0.3">
      <c r="A496" s="44">
        <v>495</v>
      </c>
      <c r="B496" s="62" t="s">
        <v>927</v>
      </c>
      <c r="C496" s="60" t="s">
        <v>926</v>
      </c>
      <c r="D496" s="28" t="s">
        <v>657</v>
      </c>
      <c r="E496" s="28" t="s">
        <v>771</v>
      </c>
      <c r="F496" s="78" t="s">
        <v>1135</v>
      </c>
      <c r="G496" s="75"/>
    </row>
    <row r="497" spans="1:7" x14ac:dyDescent="0.3">
      <c r="A497" s="44">
        <v>496</v>
      </c>
      <c r="B497" s="62" t="s">
        <v>928</v>
      </c>
      <c r="C497" s="60" t="s">
        <v>926</v>
      </c>
      <c r="D497" s="28" t="s">
        <v>657</v>
      </c>
      <c r="E497" s="28" t="s">
        <v>772</v>
      </c>
      <c r="F497" s="78" t="s">
        <v>1135</v>
      </c>
      <c r="G497" s="75"/>
    </row>
    <row r="498" spans="1:7" x14ac:dyDescent="0.3">
      <c r="A498" s="44">
        <v>497</v>
      </c>
      <c r="B498" s="63" t="s">
        <v>929</v>
      </c>
      <c r="C498" s="28" t="s">
        <v>930</v>
      </c>
      <c r="D498" s="28" t="s">
        <v>657</v>
      </c>
      <c r="E498" s="28" t="s">
        <v>770</v>
      </c>
      <c r="F498" s="78" t="s">
        <v>1135</v>
      </c>
      <c r="G498" s="75"/>
    </row>
    <row r="499" spans="1:7" x14ac:dyDescent="0.3">
      <c r="A499" s="44">
        <v>498</v>
      </c>
      <c r="B499" s="63" t="s">
        <v>931</v>
      </c>
      <c r="C499" s="28" t="s">
        <v>930</v>
      </c>
      <c r="D499" s="28" t="s">
        <v>657</v>
      </c>
      <c r="E499" s="28" t="s">
        <v>771</v>
      </c>
      <c r="F499" s="78" t="s">
        <v>1135</v>
      </c>
      <c r="G499" s="75"/>
    </row>
    <row r="500" spans="1:7" x14ac:dyDescent="0.3">
      <c r="A500" s="44">
        <v>499</v>
      </c>
      <c r="B500" s="63" t="s">
        <v>932</v>
      </c>
      <c r="C500" s="28" t="s">
        <v>930</v>
      </c>
      <c r="D500" s="28" t="s">
        <v>657</v>
      </c>
      <c r="E500" s="28" t="s">
        <v>772</v>
      </c>
      <c r="F500" s="78" t="s">
        <v>1135</v>
      </c>
      <c r="G500" s="75"/>
    </row>
    <row r="501" spans="1:7" x14ac:dyDescent="0.3">
      <c r="A501" s="44">
        <v>500</v>
      </c>
      <c r="B501" s="55" t="s">
        <v>933</v>
      </c>
      <c r="C501" s="34" t="s">
        <v>934</v>
      </c>
      <c r="D501" s="34" t="s">
        <v>782</v>
      </c>
      <c r="E501" s="34" t="s">
        <v>771</v>
      </c>
      <c r="F501" s="54" t="s">
        <v>1135</v>
      </c>
      <c r="G501" s="56"/>
    </row>
    <row r="502" spans="1:7" x14ac:dyDescent="0.3">
      <c r="A502" s="44">
        <v>501</v>
      </c>
      <c r="B502" s="62" t="s">
        <v>935</v>
      </c>
      <c r="C502" s="60" t="s">
        <v>936</v>
      </c>
      <c r="D502" s="28" t="s">
        <v>657</v>
      </c>
      <c r="E502" s="28" t="s">
        <v>770</v>
      </c>
      <c r="F502" s="78" t="s">
        <v>1135</v>
      </c>
      <c r="G502" s="75"/>
    </row>
    <row r="503" spans="1:7" x14ac:dyDescent="0.3">
      <c r="A503" s="44">
        <v>502</v>
      </c>
      <c r="B503" s="62" t="s">
        <v>1080</v>
      </c>
      <c r="C503" s="60" t="s">
        <v>936</v>
      </c>
      <c r="D503" s="28" t="s">
        <v>657</v>
      </c>
      <c r="E503" s="28" t="s">
        <v>771</v>
      </c>
      <c r="F503" s="78" t="s">
        <v>1135</v>
      </c>
      <c r="G503" s="75"/>
    </row>
    <row r="504" spans="1:7" x14ac:dyDescent="0.3">
      <c r="A504" s="44">
        <v>503</v>
      </c>
      <c r="B504" s="62" t="s">
        <v>937</v>
      </c>
      <c r="C504" s="60" t="s">
        <v>936</v>
      </c>
      <c r="D504" s="28" t="s">
        <v>657</v>
      </c>
      <c r="E504" s="28" t="s">
        <v>772</v>
      </c>
      <c r="F504" s="78" t="s">
        <v>1135</v>
      </c>
      <c r="G504" s="75"/>
    </row>
    <row r="505" spans="1:7" x14ac:dyDescent="0.3">
      <c r="A505" s="44">
        <v>504</v>
      </c>
      <c r="B505" s="63" t="s">
        <v>938</v>
      </c>
      <c r="C505" s="28" t="s">
        <v>939</v>
      </c>
      <c r="D505" s="28" t="s">
        <v>657</v>
      </c>
      <c r="E505" s="28" t="s">
        <v>770</v>
      </c>
      <c r="F505" s="78" t="s">
        <v>1135</v>
      </c>
      <c r="G505" s="75"/>
    </row>
    <row r="506" spans="1:7" x14ac:dyDescent="0.3">
      <c r="A506" s="44">
        <v>505</v>
      </c>
      <c r="B506" s="63" t="s">
        <v>1094</v>
      </c>
      <c r="C506" s="28" t="s">
        <v>939</v>
      </c>
      <c r="D506" s="28" t="s">
        <v>657</v>
      </c>
      <c r="E506" s="28" t="s">
        <v>771</v>
      </c>
      <c r="F506" s="78" t="s">
        <v>1135</v>
      </c>
      <c r="G506" s="75"/>
    </row>
    <row r="507" spans="1:7" x14ac:dyDescent="0.3">
      <c r="A507" s="44">
        <v>506</v>
      </c>
      <c r="B507" s="63" t="s">
        <v>940</v>
      </c>
      <c r="C507" s="28" t="s">
        <v>939</v>
      </c>
      <c r="D507" s="28" t="s">
        <v>657</v>
      </c>
      <c r="E507" s="28" t="s">
        <v>772</v>
      </c>
      <c r="F507" s="78" t="s">
        <v>1135</v>
      </c>
      <c r="G507" s="75"/>
    </row>
    <row r="508" spans="1:7" x14ac:dyDescent="0.3">
      <c r="A508" s="44">
        <v>507</v>
      </c>
      <c r="B508" s="62" t="s">
        <v>941</v>
      </c>
      <c r="C508" s="60" t="s">
        <v>942</v>
      </c>
      <c r="D508" s="28" t="s">
        <v>657</v>
      </c>
      <c r="E508" s="28" t="s">
        <v>770</v>
      </c>
      <c r="F508" s="78" t="s">
        <v>1135</v>
      </c>
      <c r="G508" s="75"/>
    </row>
    <row r="509" spans="1:7" x14ac:dyDescent="0.3">
      <c r="A509" s="44">
        <v>508</v>
      </c>
      <c r="B509" s="62" t="s">
        <v>943</v>
      </c>
      <c r="C509" s="60" t="s">
        <v>942</v>
      </c>
      <c r="D509" s="28" t="s">
        <v>657</v>
      </c>
      <c r="E509" s="28" t="s">
        <v>771</v>
      </c>
      <c r="F509" s="78" t="s">
        <v>1135</v>
      </c>
      <c r="G509" s="75"/>
    </row>
    <row r="510" spans="1:7" x14ac:dyDescent="0.3">
      <c r="A510" s="44">
        <v>509</v>
      </c>
      <c r="B510" s="62" t="s">
        <v>944</v>
      </c>
      <c r="C510" s="60" t="s">
        <v>942</v>
      </c>
      <c r="D510" s="28" t="s">
        <v>657</v>
      </c>
      <c r="E510" s="28" t="s">
        <v>772</v>
      </c>
      <c r="F510" s="78" t="s">
        <v>1135</v>
      </c>
      <c r="G510" s="75"/>
    </row>
    <row r="511" spans="1:7" x14ac:dyDescent="0.3">
      <c r="A511" s="44">
        <v>510</v>
      </c>
      <c r="B511" s="63" t="s">
        <v>945</v>
      </c>
      <c r="C511" s="28" t="s">
        <v>946</v>
      </c>
      <c r="D511" s="28" t="s">
        <v>657</v>
      </c>
      <c r="E511" s="28" t="s">
        <v>770</v>
      </c>
      <c r="F511" s="78" t="s">
        <v>1135</v>
      </c>
      <c r="G511" s="75"/>
    </row>
    <row r="512" spans="1:7" x14ac:dyDescent="0.3">
      <c r="A512" s="44">
        <v>511</v>
      </c>
      <c r="B512" s="63" t="s">
        <v>947</v>
      </c>
      <c r="C512" s="28" t="s">
        <v>946</v>
      </c>
      <c r="D512" s="28" t="s">
        <v>657</v>
      </c>
      <c r="E512" s="28" t="s">
        <v>771</v>
      </c>
      <c r="F512" s="78" t="s">
        <v>1135</v>
      </c>
      <c r="G512" s="75"/>
    </row>
    <row r="513" spans="1:7" x14ac:dyDescent="0.3">
      <c r="A513" s="44">
        <v>512</v>
      </c>
      <c r="B513" s="63" t="s">
        <v>948</v>
      </c>
      <c r="C513" s="28" t="s">
        <v>946</v>
      </c>
      <c r="D513" s="28" t="s">
        <v>657</v>
      </c>
      <c r="E513" s="28" t="s">
        <v>772</v>
      </c>
      <c r="F513" s="78" t="s">
        <v>1135</v>
      </c>
      <c r="G513" s="75"/>
    </row>
    <row r="514" spans="1:7" x14ac:dyDescent="0.3">
      <c r="A514" s="44">
        <v>513</v>
      </c>
      <c r="B514" s="62" t="s">
        <v>949</v>
      </c>
      <c r="C514" s="60" t="s">
        <v>950</v>
      </c>
      <c r="D514" s="28" t="s">
        <v>657</v>
      </c>
      <c r="E514" s="28" t="s">
        <v>770</v>
      </c>
      <c r="F514" s="78" t="s">
        <v>1135</v>
      </c>
      <c r="G514" s="75"/>
    </row>
    <row r="515" spans="1:7" x14ac:dyDescent="0.3">
      <c r="A515" s="44">
        <v>514</v>
      </c>
      <c r="B515" s="62" t="s">
        <v>951</v>
      </c>
      <c r="C515" s="60" t="s">
        <v>950</v>
      </c>
      <c r="D515" s="28" t="s">
        <v>657</v>
      </c>
      <c r="E515" s="28" t="s">
        <v>771</v>
      </c>
      <c r="F515" s="78" t="s">
        <v>1135</v>
      </c>
      <c r="G515" s="75"/>
    </row>
    <row r="516" spans="1:7" x14ac:dyDescent="0.3">
      <c r="A516" s="44">
        <v>515</v>
      </c>
      <c r="B516" s="62" t="s">
        <v>952</v>
      </c>
      <c r="C516" s="60" t="s">
        <v>950</v>
      </c>
      <c r="D516" s="28" t="s">
        <v>657</v>
      </c>
      <c r="E516" s="28" t="s">
        <v>772</v>
      </c>
      <c r="F516" s="78" t="s">
        <v>1135</v>
      </c>
      <c r="G516" s="75"/>
    </row>
    <row r="517" spans="1:7" x14ac:dyDescent="0.3">
      <c r="A517" s="44">
        <v>516</v>
      </c>
      <c r="B517" s="63" t="s">
        <v>953</v>
      </c>
      <c r="C517" s="28" t="s">
        <v>954</v>
      </c>
      <c r="D517" s="28" t="s">
        <v>657</v>
      </c>
      <c r="E517" s="28" t="s">
        <v>770</v>
      </c>
      <c r="F517" s="78" t="s">
        <v>1135</v>
      </c>
      <c r="G517" s="75"/>
    </row>
    <row r="518" spans="1:7" x14ac:dyDescent="0.3">
      <c r="A518" s="44">
        <v>517</v>
      </c>
      <c r="B518" s="63" t="s">
        <v>955</v>
      </c>
      <c r="C518" s="28" t="s">
        <v>954</v>
      </c>
      <c r="D518" s="28" t="s">
        <v>657</v>
      </c>
      <c r="E518" s="28" t="s">
        <v>771</v>
      </c>
      <c r="F518" s="78" t="s">
        <v>1135</v>
      </c>
      <c r="G518" s="75"/>
    </row>
    <row r="519" spans="1:7" x14ac:dyDescent="0.3">
      <c r="A519" s="44">
        <v>518</v>
      </c>
      <c r="B519" s="63" t="s">
        <v>956</v>
      </c>
      <c r="C519" s="28" t="s">
        <v>954</v>
      </c>
      <c r="D519" s="28" t="s">
        <v>657</v>
      </c>
      <c r="E519" s="28" t="s">
        <v>772</v>
      </c>
      <c r="F519" s="78" t="s">
        <v>1135</v>
      </c>
      <c r="G519" s="75"/>
    </row>
    <row r="520" spans="1:7" x14ac:dyDescent="0.3">
      <c r="A520" s="44">
        <v>519</v>
      </c>
      <c r="B520" s="73" t="s">
        <v>957</v>
      </c>
      <c r="C520" s="74" t="s">
        <v>958</v>
      </c>
      <c r="D520" s="39" t="s">
        <v>652</v>
      </c>
      <c r="E520" s="39" t="s">
        <v>770</v>
      </c>
      <c r="F520" s="77" t="s">
        <v>1135</v>
      </c>
      <c r="G520" s="58"/>
    </row>
    <row r="521" spans="1:7" x14ac:dyDescent="0.3">
      <c r="A521" s="44">
        <v>520</v>
      </c>
      <c r="B521" s="73" t="s">
        <v>959</v>
      </c>
      <c r="C521" s="74" t="s">
        <v>958</v>
      </c>
      <c r="D521" s="39" t="s">
        <v>652</v>
      </c>
      <c r="E521" s="39" t="s">
        <v>771</v>
      </c>
      <c r="F521" s="77" t="s">
        <v>1135</v>
      </c>
      <c r="G521" s="58"/>
    </row>
    <row r="522" spans="1:7" x14ac:dyDescent="0.3">
      <c r="A522" s="44">
        <v>521</v>
      </c>
      <c r="B522" s="63" t="s">
        <v>960</v>
      </c>
      <c r="C522" s="28" t="s">
        <v>961</v>
      </c>
      <c r="D522" s="28" t="s">
        <v>657</v>
      </c>
      <c r="E522" s="28" t="s">
        <v>770</v>
      </c>
      <c r="F522" s="78" t="s">
        <v>1135</v>
      </c>
      <c r="G522" s="75"/>
    </row>
    <row r="523" spans="1:7" x14ac:dyDescent="0.3">
      <c r="A523" s="44">
        <v>522</v>
      </c>
      <c r="B523" s="63" t="s">
        <v>962</v>
      </c>
      <c r="C523" s="28" t="s">
        <v>961</v>
      </c>
      <c r="D523" s="28" t="s">
        <v>657</v>
      </c>
      <c r="E523" s="28" t="s">
        <v>771</v>
      </c>
      <c r="F523" s="78" t="s">
        <v>1135</v>
      </c>
      <c r="G523" s="75"/>
    </row>
    <row r="524" spans="1:7" x14ac:dyDescent="0.3">
      <c r="A524" s="44">
        <v>523</v>
      </c>
      <c r="B524" s="63" t="s">
        <v>963</v>
      </c>
      <c r="C524" s="28" t="s">
        <v>961</v>
      </c>
      <c r="D524" s="28" t="s">
        <v>657</v>
      </c>
      <c r="E524" s="28" t="s">
        <v>772</v>
      </c>
      <c r="F524" s="78" t="s">
        <v>1135</v>
      </c>
      <c r="G524" s="75"/>
    </row>
    <row r="525" spans="1:7" x14ac:dyDescent="0.3">
      <c r="A525" s="44">
        <v>524</v>
      </c>
      <c r="B525" s="62" t="s">
        <v>964</v>
      </c>
      <c r="C525" s="60" t="s">
        <v>965</v>
      </c>
      <c r="D525" s="28" t="s">
        <v>657</v>
      </c>
      <c r="E525" s="28" t="s">
        <v>770</v>
      </c>
      <c r="F525" s="78" t="s">
        <v>1135</v>
      </c>
      <c r="G525" s="75"/>
    </row>
    <row r="526" spans="1:7" x14ac:dyDescent="0.3">
      <c r="A526" s="44">
        <v>525</v>
      </c>
      <c r="B526" s="62" t="s">
        <v>966</v>
      </c>
      <c r="C526" s="60" t="s">
        <v>965</v>
      </c>
      <c r="D526" s="28" t="s">
        <v>657</v>
      </c>
      <c r="E526" s="28" t="s">
        <v>771</v>
      </c>
      <c r="F526" s="78" t="s">
        <v>1135</v>
      </c>
      <c r="G526" s="75"/>
    </row>
    <row r="527" spans="1:7" x14ac:dyDescent="0.3">
      <c r="A527" s="44">
        <v>526</v>
      </c>
      <c r="B527" s="62" t="s">
        <v>967</v>
      </c>
      <c r="C527" s="60" t="s">
        <v>965</v>
      </c>
      <c r="D527" s="28" t="s">
        <v>657</v>
      </c>
      <c r="E527" s="28" t="s">
        <v>772</v>
      </c>
      <c r="F527" s="78" t="s">
        <v>1135</v>
      </c>
      <c r="G527" s="75"/>
    </row>
    <row r="528" spans="1:7" x14ac:dyDescent="0.3">
      <c r="A528" s="44">
        <v>527</v>
      </c>
      <c r="B528" s="63" t="s">
        <v>968</v>
      </c>
      <c r="C528" s="28" t="s">
        <v>969</v>
      </c>
      <c r="D528" s="28" t="s">
        <v>657</v>
      </c>
      <c r="E528" s="28" t="s">
        <v>770</v>
      </c>
      <c r="F528" s="78" t="s">
        <v>1135</v>
      </c>
      <c r="G528" s="75"/>
    </row>
    <row r="529" spans="1:7" x14ac:dyDescent="0.3">
      <c r="A529" s="44">
        <v>528</v>
      </c>
      <c r="B529" s="63" t="s">
        <v>759</v>
      </c>
      <c r="C529" s="28" t="s">
        <v>969</v>
      </c>
      <c r="D529" s="28" t="s">
        <v>657</v>
      </c>
      <c r="E529" s="28" t="s">
        <v>771</v>
      </c>
      <c r="F529" s="78" t="s">
        <v>1135</v>
      </c>
      <c r="G529" s="75"/>
    </row>
    <row r="530" spans="1:7" x14ac:dyDescent="0.3">
      <c r="A530" s="44">
        <v>529</v>
      </c>
      <c r="B530" s="63" t="s">
        <v>970</v>
      </c>
      <c r="C530" s="28" t="s">
        <v>969</v>
      </c>
      <c r="D530" s="28" t="s">
        <v>657</v>
      </c>
      <c r="E530" s="28" t="s">
        <v>772</v>
      </c>
      <c r="F530" s="78" t="s">
        <v>1135</v>
      </c>
      <c r="G530" s="75"/>
    </row>
    <row r="531" spans="1:7" x14ac:dyDescent="0.3">
      <c r="A531" s="44">
        <v>530</v>
      </c>
      <c r="B531" s="62" t="s">
        <v>971</v>
      </c>
      <c r="C531" s="60" t="s">
        <v>972</v>
      </c>
      <c r="D531" s="28" t="s">
        <v>657</v>
      </c>
      <c r="E531" s="28" t="s">
        <v>770</v>
      </c>
      <c r="F531" s="78" t="s">
        <v>1135</v>
      </c>
      <c r="G531" s="75"/>
    </row>
    <row r="532" spans="1:7" x14ac:dyDescent="0.3">
      <c r="A532" s="44">
        <v>531</v>
      </c>
      <c r="B532" s="62" t="s">
        <v>973</v>
      </c>
      <c r="C532" s="60" t="s">
        <v>972</v>
      </c>
      <c r="D532" s="28" t="s">
        <v>657</v>
      </c>
      <c r="E532" s="28" t="s">
        <v>771</v>
      </c>
      <c r="F532" s="78" t="s">
        <v>1135</v>
      </c>
      <c r="G532" s="75"/>
    </row>
    <row r="533" spans="1:7" x14ac:dyDescent="0.3">
      <c r="A533" s="44">
        <v>532</v>
      </c>
      <c r="B533" s="62" t="s">
        <v>974</v>
      </c>
      <c r="C533" s="60" t="s">
        <v>972</v>
      </c>
      <c r="D533" s="28" t="s">
        <v>657</v>
      </c>
      <c r="E533" s="28" t="s">
        <v>772</v>
      </c>
      <c r="F533" s="78" t="s">
        <v>1135</v>
      </c>
      <c r="G533" s="75"/>
    </row>
    <row r="534" spans="1:7" x14ac:dyDescent="0.3">
      <c r="A534" s="44">
        <v>533</v>
      </c>
      <c r="B534" s="63" t="s">
        <v>975</v>
      </c>
      <c r="C534" s="28" t="s">
        <v>976</v>
      </c>
      <c r="D534" s="28" t="s">
        <v>657</v>
      </c>
      <c r="E534" s="28" t="s">
        <v>770</v>
      </c>
      <c r="F534" s="78" t="s">
        <v>1135</v>
      </c>
      <c r="G534" s="75"/>
    </row>
    <row r="535" spans="1:7" x14ac:dyDescent="0.3">
      <c r="A535" s="44">
        <v>534</v>
      </c>
      <c r="B535" s="63" t="s">
        <v>977</v>
      </c>
      <c r="C535" s="28" t="s">
        <v>976</v>
      </c>
      <c r="D535" s="28" t="s">
        <v>657</v>
      </c>
      <c r="E535" s="28" t="s">
        <v>771</v>
      </c>
      <c r="F535" s="78" t="s">
        <v>1135</v>
      </c>
      <c r="G535" s="75"/>
    </row>
    <row r="536" spans="1:7" x14ac:dyDescent="0.3">
      <c r="A536" s="44">
        <v>535</v>
      </c>
      <c r="B536" s="63" t="s">
        <v>978</v>
      </c>
      <c r="C536" s="28" t="s">
        <v>976</v>
      </c>
      <c r="D536" s="28" t="s">
        <v>657</v>
      </c>
      <c r="E536" s="28" t="s">
        <v>772</v>
      </c>
      <c r="F536" s="78" t="s">
        <v>1135</v>
      </c>
      <c r="G536" s="75"/>
    </row>
    <row r="537" spans="1:7" x14ac:dyDescent="0.3">
      <c r="A537" s="44">
        <v>536</v>
      </c>
      <c r="B537" s="62" t="s">
        <v>979</v>
      </c>
      <c r="C537" s="60" t="s">
        <v>980</v>
      </c>
      <c r="D537" s="28" t="s">
        <v>657</v>
      </c>
      <c r="E537" s="28" t="s">
        <v>770</v>
      </c>
      <c r="F537" s="78" t="s">
        <v>1135</v>
      </c>
      <c r="G537" s="75"/>
    </row>
    <row r="538" spans="1:7" x14ac:dyDescent="0.3">
      <c r="A538" s="44">
        <v>537</v>
      </c>
      <c r="B538" s="62" t="s">
        <v>981</v>
      </c>
      <c r="C538" s="60" t="s">
        <v>980</v>
      </c>
      <c r="D538" s="28" t="s">
        <v>657</v>
      </c>
      <c r="E538" s="28" t="s">
        <v>771</v>
      </c>
      <c r="F538" s="78" t="s">
        <v>1135</v>
      </c>
      <c r="G538" s="75"/>
    </row>
    <row r="539" spans="1:7" x14ac:dyDescent="0.3">
      <c r="A539" s="44">
        <v>538</v>
      </c>
      <c r="B539" s="62" t="s">
        <v>982</v>
      </c>
      <c r="C539" s="60" t="s">
        <v>980</v>
      </c>
      <c r="D539" s="28" t="s">
        <v>657</v>
      </c>
      <c r="E539" s="28" t="s">
        <v>772</v>
      </c>
      <c r="F539" s="78" t="s">
        <v>1135</v>
      </c>
      <c r="G539" s="75"/>
    </row>
    <row r="540" spans="1:7" x14ac:dyDescent="0.3">
      <c r="A540" s="44">
        <v>539</v>
      </c>
      <c r="B540" s="63" t="s">
        <v>983</v>
      </c>
      <c r="C540" s="28" t="s">
        <v>984</v>
      </c>
      <c r="D540" s="28" t="s">
        <v>657</v>
      </c>
      <c r="E540" s="28" t="s">
        <v>770</v>
      </c>
      <c r="F540" s="78" t="s">
        <v>1135</v>
      </c>
      <c r="G540" s="75"/>
    </row>
    <row r="541" spans="1:7" x14ac:dyDescent="0.3">
      <c r="A541" s="44">
        <v>540</v>
      </c>
      <c r="B541" s="63" t="s">
        <v>757</v>
      </c>
      <c r="C541" s="28" t="s">
        <v>984</v>
      </c>
      <c r="D541" s="28" t="s">
        <v>657</v>
      </c>
      <c r="E541" s="28" t="s">
        <v>771</v>
      </c>
      <c r="F541" s="78" t="s">
        <v>1135</v>
      </c>
      <c r="G541" s="75"/>
    </row>
    <row r="542" spans="1:7" x14ac:dyDescent="0.3">
      <c r="A542" s="44">
        <v>541</v>
      </c>
      <c r="B542" s="63" t="s">
        <v>985</v>
      </c>
      <c r="C542" s="28" t="s">
        <v>984</v>
      </c>
      <c r="D542" s="28" t="s">
        <v>657</v>
      </c>
      <c r="E542" s="28" t="s">
        <v>772</v>
      </c>
      <c r="F542" s="78" t="s">
        <v>1135</v>
      </c>
      <c r="G542" s="75"/>
    </row>
    <row r="543" spans="1:7" x14ac:dyDescent="0.3">
      <c r="A543" s="44">
        <v>542</v>
      </c>
      <c r="B543" s="62" t="s">
        <v>986</v>
      </c>
      <c r="C543" s="60" t="s">
        <v>987</v>
      </c>
      <c r="D543" s="28" t="s">
        <v>657</v>
      </c>
      <c r="E543" s="28" t="s">
        <v>770</v>
      </c>
      <c r="F543" s="78" t="s">
        <v>1135</v>
      </c>
      <c r="G543" s="75"/>
    </row>
    <row r="544" spans="1:7" x14ac:dyDescent="0.3">
      <c r="A544" s="44">
        <v>543</v>
      </c>
      <c r="B544" s="62" t="s">
        <v>766</v>
      </c>
      <c r="C544" s="60" t="s">
        <v>987</v>
      </c>
      <c r="D544" s="28" t="s">
        <v>657</v>
      </c>
      <c r="E544" s="28" t="s">
        <v>771</v>
      </c>
      <c r="F544" s="78" t="s">
        <v>1135</v>
      </c>
      <c r="G544" s="75"/>
    </row>
    <row r="545" spans="1:7" x14ac:dyDescent="0.3">
      <c r="A545" s="44">
        <v>544</v>
      </c>
      <c r="B545" s="62" t="s">
        <v>988</v>
      </c>
      <c r="C545" s="60" t="s">
        <v>987</v>
      </c>
      <c r="D545" s="28" t="s">
        <v>657</v>
      </c>
      <c r="E545" s="28" t="s">
        <v>772</v>
      </c>
      <c r="F545" s="78" t="s">
        <v>1135</v>
      </c>
      <c r="G545" s="75"/>
    </row>
    <row r="546" spans="1:7" x14ac:dyDescent="0.3">
      <c r="A546" s="44">
        <v>545</v>
      </c>
      <c r="B546" s="63" t="s">
        <v>989</v>
      </c>
      <c r="C546" s="28" t="s">
        <v>990</v>
      </c>
      <c r="D546" s="28" t="s">
        <v>657</v>
      </c>
      <c r="E546" s="28" t="s">
        <v>770</v>
      </c>
      <c r="F546" s="78" t="s">
        <v>1135</v>
      </c>
      <c r="G546" s="75"/>
    </row>
    <row r="547" spans="1:7" x14ac:dyDescent="0.3">
      <c r="A547" s="44">
        <v>546</v>
      </c>
      <c r="B547" s="63" t="s">
        <v>991</v>
      </c>
      <c r="C547" s="28" t="s">
        <v>990</v>
      </c>
      <c r="D547" s="28" t="s">
        <v>657</v>
      </c>
      <c r="E547" s="28" t="s">
        <v>771</v>
      </c>
      <c r="F547" s="78" t="s">
        <v>1135</v>
      </c>
      <c r="G547" s="75"/>
    </row>
    <row r="548" spans="1:7" x14ac:dyDescent="0.3">
      <c r="A548" s="44">
        <v>547</v>
      </c>
      <c r="B548" s="63" t="s">
        <v>992</v>
      </c>
      <c r="C548" s="28" t="s">
        <v>990</v>
      </c>
      <c r="D548" s="28" t="s">
        <v>657</v>
      </c>
      <c r="E548" s="28" t="s">
        <v>772</v>
      </c>
      <c r="F548" s="78" t="s">
        <v>1135</v>
      </c>
      <c r="G548" s="75"/>
    </row>
    <row r="549" spans="1:7" x14ac:dyDescent="0.3">
      <c r="A549" s="44">
        <v>548</v>
      </c>
      <c r="B549" s="62" t="s">
        <v>993</v>
      </c>
      <c r="C549" s="60" t="s">
        <v>994</v>
      </c>
      <c r="D549" s="28" t="s">
        <v>657</v>
      </c>
      <c r="E549" s="28" t="s">
        <v>770</v>
      </c>
      <c r="F549" s="78" t="s">
        <v>1135</v>
      </c>
      <c r="G549" s="75"/>
    </row>
    <row r="550" spans="1:7" x14ac:dyDescent="0.3">
      <c r="A550" s="44">
        <v>549</v>
      </c>
      <c r="B550" s="62" t="s">
        <v>995</v>
      </c>
      <c r="C550" s="60" t="s">
        <v>994</v>
      </c>
      <c r="D550" s="28" t="s">
        <v>657</v>
      </c>
      <c r="E550" s="28" t="s">
        <v>771</v>
      </c>
      <c r="F550" s="78" t="s">
        <v>1135</v>
      </c>
      <c r="G550" s="75"/>
    </row>
    <row r="551" spans="1:7" x14ac:dyDescent="0.3">
      <c r="A551" s="44">
        <v>550</v>
      </c>
      <c r="B551" s="62" t="s">
        <v>996</v>
      </c>
      <c r="C551" s="60" t="s">
        <v>994</v>
      </c>
      <c r="D551" s="28" t="s">
        <v>657</v>
      </c>
      <c r="E551" s="28" t="s">
        <v>772</v>
      </c>
      <c r="F551" s="78" t="s">
        <v>1135</v>
      </c>
      <c r="G551" s="75"/>
    </row>
    <row r="552" spans="1:7" x14ac:dyDescent="0.3">
      <c r="A552" s="44">
        <v>551</v>
      </c>
      <c r="B552" s="63" t="s">
        <v>997</v>
      </c>
      <c r="C552" s="28" t="s">
        <v>998</v>
      </c>
      <c r="D552" s="28" t="s">
        <v>657</v>
      </c>
      <c r="E552" s="28" t="s">
        <v>770</v>
      </c>
      <c r="F552" s="78" t="s">
        <v>1135</v>
      </c>
      <c r="G552" s="75"/>
    </row>
    <row r="553" spans="1:7" x14ac:dyDescent="0.3">
      <c r="A553" s="44">
        <v>552</v>
      </c>
      <c r="B553" s="63" t="s">
        <v>999</v>
      </c>
      <c r="C553" s="28" t="s">
        <v>998</v>
      </c>
      <c r="D553" s="28" t="s">
        <v>657</v>
      </c>
      <c r="E553" s="28" t="s">
        <v>771</v>
      </c>
      <c r="F553" s="78" t="s">
        <v>1135</v>
      </c>
      <c r="G553" s="75"/>
    </row>
    <row r="554" spans="1:7" x14ac:dyDescent="0.3">
      <c r="A554" s="44">
        <v>553</v>
      </c>
      <c r="B554" s="63" t="s">
        <v>1000</v>
      </c>
      <c r="C554" s="28" t="s">
        <v>998</v>
      </c>
      <c r="D554" s="28" t="s">
        <v>657</v>
      </c>
      <c r="E554" s="28" t="s">
        <v>772</v>
      </c>
      <c r="F554" s="78" t="s">
        <v>1135</v>
      </c>
      <c r="G554" s="75"/>
    </row>
    <row r="555" spans="1:7" x14ac:dyDescent="0.3">
      <c r="A555" s="44">
        <v>554</v>
      </c>
      <c r="B555" s="64" t="s">
        <v>1001</v>
      </c>
      <c r="C555" s="61" t="s">
        <v>1002</v>
      </c>
      <c r="D555" s="34" t="s">
        <v>782</v>
      </c>
      <c r="E555" s="34" t="s">
        <v>770</v>
      </c>
      <c r="F555" s="54" t="s">
        <v>1135</v>
      </c>
      <c r="G555" s="56"/>
    </row>
    <row r="556" spans="1:7" x14ac:dyDescent="0.3">
      <c r="A556" s="44">
        <v>555</v>
      </c>
      <c r="B556" s="59" t="s">
        <v>1003</v>
      </c>
      <c r="C556" s="39" t="s">
        <v>1004</v>
      </c>
      <c r="D556" s="39" t="s">
        <v>652</v>
      </c>
      <c r="E556" s="39" t="s">
        <v>770</v>
      </c>
      <c r="F556" s="77" t="s">
        <v>1135</v>
      </c>
      <c r="G556" s="58"/>
    </row>
    <row r="557" spans="1:7" x14ac:dyDescent="0.3">
      <c r="A557" s="44">
        <v>556</v>
      </c>
      <c r="B557" s="59" t="s">
        <v>1106</v>
      </c>
      <c r="C557" s="39" t="s">
        <v>1004</v>
      </c>
      <c r="D557" s="39" t="s">
        <v>652</v>
      </c>
      <c r="E557" s="39" t="s">
        <v>771</v>
      </c>
      <c r="F557" s="77" t="s">
        <v>1135</v>
      </c>
      <c r="G557" s="58"/>
    </row>
    <row r="558" spans="1:7" x14ac:dyDescent="0.3">
      <c r="A558" s="44">
        <v>557</v>
      </c>
      <c r="B558" s="64" t="s">
        <v>728</v>
      </c>
      <c r="C558" s="61" t="s">
        <v>1004</v>
      </c>
      <c r="D558" s="34" t="s">
        <v>782</v>
      </c>
      <c r="E558" s="34" t="s">
        <v>770</v>
      </c>
      <c r="F558" s="54" t="s">
        <v>1135</v>
      </c>
      <c r="G558" s="56"/>
    </row>
    <row r="559" spans="1:7" x14ac:dyDescent="0.3">
      <c r="A559" s="44">
        <v>558</v>
      </c>
      <c r="B559" s="59" t="s">
        <v>1005</v>
      </c>
      <c r="C559" s="39" t="s">
        <v>1004</v>
      </c>
      <c r="D559" s="39" t="s">
        <v>652</v>
      </c>
      <c r="E559" s="39" t="s">
        <v>770</v>
      </c>
      <c r="F559" s="77" t="s">
        <v>1135</v>
      </c>
      <c r="G559" s="58"/>
    </row>
    <row r="560" spans="1:7" x14ac:dyDescent="0.3">
      <c r="A560" s="44">
        <v>559</v>
      </c>
      <c r="B560" s="59" t="s">
        <v>1006</v>
      </c>
      <c r="C560" s="39" t="s">
        <v>1004</v>
      </c>
      <c r="D560" s="39" t="s">
        <v>652</v>
      </c>
      <c r="E560" s="39" t="s">
        <v>771</v>
      </c>
      <c r="F560" s="77" t="s">
        <v>1135</v>
      </c>
      <c r="G560" s="58"/>
    </row>
    <row r="561" spans="1:7" x14ac:dyDescent="0.3">
      <c r="A561" s="44">
        <v>560</v>
      </c>
      <c r="B561" s="73" t="s">
        <v>1007</v>
      </c>
      <c r="C561" s="74" t="s">
        <v>1004</v>
      </c>
      <c r="D561" s="39" t="s">
        <v>652</v>
      </c>
      <c r="E561" s="39" t="s">
        <v>770</v>
      </c>
      <c r="F561" s="77" t="s">
        <v>1135</v>
      </c>
      <c r="G561" s="58"/>
    </row>
    <row r="562" spans="1:7" x14ac:dyDescent="0.3">
      <c r="A562" s="44">
        <v>561</v>
      </c>
      <c r="B562" s="73" t="s">
        <v>754</v>
      </c>
      <c r="C562" s="74" t="s">
        <v>1004</v>
      </c>
      <c r="D562" s="39" t="s">
        <v>652</v>
      </c>
      <c r="E562" s="39" t="s">
        <v>771</v>
      </c>
      <c r="F562" s="77" t="s">
        <v>1135</v>
      </c>
      <c r="G562" s="58"/>
    </row>
    <row r="563" spans="1:7" x14ac:dyDescent="0.3">
      <c r="A563" s="44">
        <v>562</v>
      </c>
      <c r="B563" s="59" t="s">
        <v>1008</v>
      </c>
      <c r="C563" s="39" t="s">
        <v>1009</v>
      </c>
      <c r="D563" s="39" t="s">
        <v>652</v>
      </c>
      <c r="E563" s="39" t="s">
        <v>770</v>
      </c>
      <c r="F563" s="77" t="s">
        <v>1135</v>
      </c>
      <c r="G563" s="58"/>
    </row>
    <row r="564" spans="1:7" x14ac:dyDescent="0.3">
      <c r="A564" s="44">
        <v>563</v>
      </c>
      <c r="B564" s="59" t="s">
        <v>1010</v>
      </c>
      <c r="C564" s="39" t="s">
        <v>1009</v>
      </c>
      <c r="D564" s="39" t="s">
        <v>652</v>
      </c>
      <c r="E564" s="39" t="s">
        <v>771</v>
      </c>
      <c r="F564" s="77" t="s">
        <v>1135</v>
      </c>
      <c r="G564" s="58"/>
    </row>
    <row r="565" spans="1:7" x14ac:dyDescent="0.3">
      <c r="A565" s="44">
        <v>564</v>
      </c>
      <c r="B565" s="73" t="s">
        <v>1109</v>
      </c>
      <c r="C565" s="74" t="s">
        <v>1011</v>
      </c>
      <c r="D565" s="39" t="s">
        <v>652</v>
      </c>
      <c r="E565" s="39" t="s">
        <v>770</v>
      </c>
      <c r="F565" s="77" t="s">
        <v>1135</v>
      </c>
      <c r="G565" s="58"/>
    </row>
    <row r="566" spans="1:7" x14ac:dyDescent="0.3">
      <c r="A566" s="44">
        <v>565</v>
      </c>
      <c r="B566" s="73" t="s">
        <v>765</v>
      </c>
      <c r="C566" s="74" t="s">
        <v>1011</v>
      </c>
      <c r="D566" s="39" t="s">
        <v>652</v>
      </c>
      <c r="E566" s="39" t="s">
        <v>771</v>
      </c>
      <c r="F566" s="77" t="s">
        <v>1135</v>
      </c>
      <c r="G566" s="58"/>
    </row>
    <row r="567" spans="1:7" x14ac:dyDescent="0.3">
      <c r="A567" s="44">
        <v>566</v>
      </c>
      <c r="B567" s="59" t="s">
        <v>1012</v>
      </c>
      <c r="C567" s="39" t="s">
        <v>1013</v>
      </c>
      <c r="D567" s="39" t="s">
        <v>652</v>
      </c>
      <c r="E567" s="39" t="s">
        <v>770</v>
      </c>
      <c r="F567" s="77" t="s">
        <v>1135</v>
      </c>
      <c r="G567" s="58"/>
    </row>
    <row r="568" spans="1:7" x14ac:dyDescent="0.3">
      <c r="A568" s="44">
        <v>567</v>
      </c>
      <c r="B568" s="59" t="s">
        <v>1014</v>
      </c>
      <c r="C568" s="39" t="s">
        <v>1013</v>
      </c>
      <c r="D568" s="39" t="s">
        <v>652</v>
      </c>
      <c r="E568" s="39" t="s">
        <v>771</v>
      </c>
      <c r="F568" s="77" t="s">
        <v>1135</v>
      </c>
      <c r="G568" s="58"/>
    </row>
    <row r="569" spans="1:7" x14ac:dyDescent="0.3">
      <c r="A569" s="44">
        <v>568</v>
      </c>
      <c r="B569" s="73" t="s">
        <v>653</v>
      </c>
      <c r="C569" s="74" t="s">
        <v>1015</v>
      </c>
      <c r="D569" s="39" t="s">
        <v>652</v>
      </c>
      <c r="E569" s="39" t="s">
        <v>770</v>
      </c>
      <c r="F569" s="77" t="s">
        <v>1135</v>
      </c>
      <c r="G569" s="58"/>
    </row>
    <row r="570" spans="1:7" x14ac:dyDescent="0.3">
      <c r="A570" s="44">
        <v>569</v>
      </c>
      <c r="B570" s="73" t="s">
        <v>760</v>
      </c>
      <c r="C570" s="74" t="s">
        <v>1015</v>
      </c>
      <c r="D570" s="39" t="s">
        <v>652</v>
      </c>
      <c r="E570" s="39" t="s">
        <v>771</v>
      </c>
      <c r="F570" s="77" t="s">
        <v>1135</v>
      </c>
      <c r="G570" s="58"/>
    </row>
    <row r="571" spans="1:7" x14ac:dyDescent="0.3">
      <c r="A571" s="44">
        <v>570</v>
      </c>
      <c r="B571" s="63" t="s">
        <v>1016</v>
      </c>
      <c r="C571" s="28" t="s">
        <v>1017</v>
      </c>
      <c r="D571" s="28" t="s">
        <v>657</v>
      </c>
      <c r="E571" s="28" t="s">
        <v>770</v>
      </c>
      <c r="F571" s="78" t="s">
        <v>1135</v>
      </c>
      <c r="G571" s="75"/>
    </row>
    <row r="572" spans="1:7" x14ac:dyDescent="0.3">
      <c r="A572" s="44">
        <v>571</v>
      </c>
      <c r="B572" s="63" t="s">
        <v>1018</v>
      </c>
      <c r="C572" s="28" t="s">
        <v>1017</v>
      </c>
      <c r="D572" s="28" t="s">
        <v>657</v>
      </c>
      <c r="E572" s="28" t="s">
        <v>771</v>
      </c>
      <c r="F572" s="78" t="s">
        <v>1135</v>
      </c>
      <c r="G572" s="75"/>
    </row>
    <row r="573" spans="1:7" x14ac:dyDescent="0.3">
      <c r="A573" s="44">
        <v>572</v>
      </c>
      <c r="B573" s="63" t="s">
        <v>1019</v>
      </c>
      <c r="C573" s="28" t="s">
        <v>1017</v>
      </c>
      <c r="D573" s="28" t="s">
        <v>657</v>
      </c>
      <c r="E573" s="28" t="s">
        <v>772</v>
      </c>
      <c r="F573" s="78" t="s">
        <v>1135</v>
      </c>
      <c r="G573" s="75"/>
    </row>
    <row r="574" spans="1:7" x14ac:dyDescent="0.3">
      <c r="A574" s="44">
        <v>573</v>
      </c>
      <c r="B574" s="73" t="s">
        <v>1020</v>
      </c>
      <c r="C574" s="74" t="s">
        <v>1021</v>
      </c>
      <c r="D574" s="39" t="s">
        <v>652</v>
      </c>
      <c r="E574" s="39" t="s">
        <v>770</v>
      </c>
      <c r="F574" s="77" t="s">
        <v>1135</v>
      </c>
      <c r="G574" s="58"/>
    </row>
    <row r="575" spans="1:7" x14ac:dyDescent="0.3">
      <c r="A575" s="44">
        <v>574</v>
      </c>
      <c r="B575" s="73" t="s">
        <v>761</v>
      </c>
      <c r="C575" s="74" t="s">
        <v>1021</v>
      </c>
      <c r="D575" s="39" t="s">
        <v>652</v>
      </c>
      <c r="E575" s="39" t="s">
        <v>771</v>
      </c>
      <c r="F575" s="77" t="s">
        <v>1135</v>
      </c>
      <c r="G575" s="58"/>
    </row>
    <row r="576" spans="1:7" x14ac:dyDescent="0.3">
      <c r="A576" s="44">
        <v>575</v>
      </c>
      <c r="B576" s="63" t="s">
        <v>1022</v>
      </c>
      <c r="C576" s="28" t="s">
        <v>1023</v>
      </c>
      <c r="D576" s="28" t="s">
        <v>657</v>
      </c>
      <c r="E576" s="28" t="s">
        <v>770</v>
      </c>
      <c r="F576" s="78" t="s">
        <v>1135</v>
      </c>
      <c r="G576" s="75"/>
    </row>
    <row r="577" spans="1:7" x14ac:dyDescent="0.3">
      <c r="A577" s="44">
        <v>576</v>
      </c>
      <c r="B577" s="63" t="s">
        <v>1024</v>
      </c>
      <c r="C577" s="28" t="s">
        <v>1023</v>
      </c>
      <c r="D577" s="28" t="s">
        <v>657</v>
      </c>
      <c r="E577" s="28" t="s">
        <v>771</v>
      </c>
      <c r="F577" s="78" t="s">
        <v>1135</v>
      </c>
      <c r="G577" s="75"/>
    </row>
    <row r="578" spans="1:7" x14ac:dyDescent="0.3">
      <c r="A578" s="44">
        <v>577</v>
      </c>
      <c r="B578" s="63" t="s">
        <v>1025</v>
      </c>
      <c r="C578" s="28" t="s">
        <v>1023</v>
      </c>
      <c r="D578" s="28" t="s">
        <v>657</v>
      </c>
      <c r="E578" s="28" t="s">
        <v>772</v>
      </c>
      <c r="F578" s="78" t="s">
        <v>1135</v>
      </c>
      <c r="G578" s="75"/>
    </row>
    <row r="579" spans="1:7" x14ac:dyDescent="0.3">
      <c r="A579" s="44">
        <v>578</v>
      </c>
      <c r="B579" s="64" t="s">
        <v>1026</v>
      </c>
      <c r="C579" s="61" t="s">
        <v>1027</v>
      </c>
      <c r="D579" s="34" t="s">
        <v>782</v>
      </c>
      <c r="E579" s="34" t="s">
        <v>770</v>
      </c>
      <c r="F579" s="54" t="s">
        <v>1135</v>
      </c>
      <c r="G579" s="56"/>
    </row>
    <row r="580" spans="1:7" x14ac:dyDescent="0.3">
      <c r="A580" s="44">
        <v>579</v>
      </c>
      <c r="B580" s="59" t="s">
        <v>1028</v>
      </c>
      <c r="C580" s="39" t="s">
        <v>1029</v>
      </c>
      <c r="D580" s="39" t="s">
        <v>652</v>
      </c>
      <c r="E580" s="39" t="s">
        <v>770</v>
      </c>
      <c r="F580" s="77" t="s">
        <v>1135</v>
      </c>
      <c r="G580" s="58"/>
    </row>
    <row r="581" spans="1:7" x14ac:dyDescent="0.3">
      <c r="A581" s="44">
        <v>580</v>
      </c>
      <c r="B581" s="59" t="s">
        <v>1030</v>
      </c>
      <c r="C581" s="39" t="s">
        <v>1029</v>
      </c>
      <c r="D581" s="39" t="s">
        <v>652</v>
      </c>
      <c r="E581" s="39" t="s">
        <v>771</v>
      </c>
      <c r="F581" s="77" t="s">
        <v>1135</v>
      </c>
      <c r="G581" s="58"/>
    </row>
    <row r="582" spans="1:7" x14ac:dyDescent="0.3">
      <c r="A582" s="44">
        <v>581</v>
      </c>
      <c r="B582" s="73" t="s">
        <v>1031</v>
      </c>
      <c r="C582" s="74" t="s">
        <v>1032</v>
      </c>
      <c r="D582" s="39" t="s">
        <v>652</v>
      </c>
      <c r="E582" s="39" t="s">
        <v>770</v>
      </c>
      <c r="F582" s="77" t="s">
        <v>1135</v>
      </c>
      <c r="G582" s="58"/>
    </row>
    <row r="583" spans="1:7" x14ac:dyDescent="0.3">
      <c r="A583" s="44">
        <v>582</v>
      </c>
      <c r="B583" s="73" t="s">
        <v>753</v>
      </c>
      <c r="C583" s="74" t="s">
        <v>1032</v>
      </c>
      <c r="D583" s="39" t="s">
        <v>652</v>
      </c>
      <c r="E583" s="39" t="s">
        <v>771</v>
      </c>
      <c r="F583" s="77" t="s">
        <v>1135</v>
      </c>
      <c r="G583" s="58"/>
    </row>
    <row r="584" spans="1:7" x14ac:dyDescent="0.3">
      <c r="A584" s="44">
        <v>583</v>
      </c>
      <c r="B584" s="63" t="s">
        <v>1033</v>
      </c>
      <c r="C584" s="28" t="s">
        <v>491</v>
      </c>
      <c r="D584" s="28" t="s">
        <v>657</v>
      </c>
      <c r="E584" s="28" t="s">
        <v>770</v>
      </c>
      <c r="F584" s="78" t="s">
        <v>1135</v>
      </c>
      <c r="G584" s="75"/>
    </row>
    <row r="585" spans="1:7" x14ac:dyDescent="0.3">
      <c r="A585" s="44">
        <v>584</v>
      </c>
      <c r="B585" s="63" t="s">
        <v>1034</v>
      </c>
      <c r="C585" s="28" t="s">
        <v>491</v>
      </c>
      <c r="D585" s="28" t="s">
        <v>657</v>
      </c>
      <c r="E585" s="28" t="s">
        <v>771</v>
      </c>
      <c r="F585" s="78" t="s">
        <v>1135</v>
      </c>
      <c r="G585" s="75"/>
    </row>
    <row r="586" spans="1:7" x14ac:dyDescent="0.3">
      <c r="A586" s="44">
        <v>585</v>
      </c>
      <c r="B586" s="63" t="s">
        <v>1035</v>
      </c>
      <c r="C586" s="28" t="s">
        <v>491</v>
      </c>
      <c r="D586" s="28" t="s">
        <v>657</v>
      </c>
      <c r="E586" s="28" t="s">
        <v>772</v>
      </c>
      <c r="F586" s="78" t="s">
        <v>1135</v>
      </c>
      <c r="G586" s="75"/>
    </row>
    <row r="587" spans="1:7" x14ac:dyDescent="0.3">
      <c r="A587" s="44">
        <v>586</v>
      </c>
      <c r="B587" s="62" t="s">
        <v>1036</v>
      </c>
      <c r="C587" s="60" t="s">
        <v>1037</v>
      </c>
      <c r="D587" s="28" t="s">
        <v>657</v>
      </c>
      <c r="E587" s="28" t="s">
        <v>770</v>
      </c>
      <c r="F587" s="78" t="s">
        <v>1135</v>
      </c>
      <c r="G587" s="75"/>
    </row>
    <row r="588" spans="1:7" x14ac:dyDescent="0.3">
      <c r="A588" s="44">
        <v>587</v>
      </c>
      <c r="B588" s="62" t="s">
        <v>1038</v>
      </c>
      <c r="C588" s="60" t="s">
        <v>1037</v>
      </c>
      <c r="D588" s="28" t="s">
        <v>657</v>
      </c>
      <c r="E588" s="28" t="s">
        <v>771</v>
      </c>
      <c r="F588" s="78" t="s">
        <v>1135</v>
      </c>
      <c r="G588" s="75"/>
    </row>
    <row r="589" spans="1:7" x14ac:dyDescent="0.3">
      <c r="A589" s="44">
        <v>588</v>
      </c>
      <c r="B589" s="62" t="s">
        <v>1083</v>
      </c>
      <c r="C589" s="60" t="s">
        <v>1037</v>
      </c>
      <c r="D589" s="28" t="s">
        <v>657</v>
      </c>
      <c r="E589" s="28" t="s">
        <v>772</v>
      </c>
      <c r="F589" s="78" t="s">
        <v>1135</v>
      </c>
      <c r="G589" s="75"/>
    </row>
    <row r="590" spans="1:7" x14ac:dyDescent="0.3">
      <c r="A590" s="44">
        <v>589</v>
      </c>
      <c r="B590" s="59" t="s">
        <v>1069</v>
      </c>
      <c r="C590" s="39" t="s">
        <v>1039</v>
      </c>
      <c r="D590" s="39" t="s">
        <v>652</v>
      </c>
      <c r="E590" s="39" t="s">
        <v>770</v>
      </c>
      <c r="F590" s="77" t="s">
        <v>1135</v>
      </c>
      <c r="G590" s="58"/>
    </row>
    <row r="591" spans="1:7" x14ac:dyDescent="0.3">
      <c r="A591" s="44">
        <v>590</v>
      </c>
      <c r="B591" s="59" t="s">
        <v>1040</v>
      </c>
      <c r="C591" s="39" t="s">
        <v>1039</v>
      </c>
      <c r="D591" s="39" t="s">
        <v>652</v>
      </c>
      <c r="E591" s="39" t="s">
        <v>772</v>
      </c>
      <c r="F591" s="77" t="s">
        <v>1135</v>
      </c>
      <c r="G591" s="58"/>
    </row>
    <row r="592" spans="1:7" x14ac:dyDescent="0.3">
      <c r="A592" s="44">
        <v>591</v>
      </c>
      <c r="B592" s="64" t="s">
        <v>1041</v>
      </c>
      <c r="C592" s="61" t="s">
        <v>1042</v>
      </c>
      <c r="D592" s="34" t="s">
        <v>782</v>
      </c>
      <c r="E592" s="34" t="s">
        <v>770</v>
      </c>
      <c r="F592" s="54" t="s">
        <v>1135</v>
      </c>
      <c r="G592" s="56"/>
    </row>
    <row r="593" spans="1:7" x14ac:dyDescent="0.3">
      <c r="A593" s="44">
        <v>592</v>
      </c>
      <c r="B593" s="59" t="s">
        <v>1043</v>
      </c>
      <c r="C593" s="74" t="s">
        <v>1044</v>
      </c>
      <c r="D593" s="39" t="s">
        <v>652</v>
      </c>
      <c r="E593" s="39" t="s">
        <v>770</v>
      </c>
      <c r="F593" s="77" t="s">
        <v>1135</v>
      </c>
      <c r="G593" s="58"/>
    </row>
    <row r="594" spans="1:7" x14ac:dyDescent="0.3">
      <c r="A594" s="44">
        <v>593</v>
      </c>
      <c r="B594" s="59" t="s">
        <v>1045</v>
      </c>
      <c r="C594" s="74" t="s">
        <v>1044</v>
      </c>
      <c r="D594" s="39" t="s">
        <v>652</v>
      </c>
      <c r="E594" s="39" t="s">
        <v>771</v>
      </c>
      <c r="F594" s="77" t="s">
        <v>1135</v>
      </c>
      <c r="G594" s="58"/>
    </row>
    <row r="595" spans="1:7" x14ac:dyDescent="0.3">
      <c r="A595" s="44">
        <v>594</v>
      </c>
      <c r="B595" s="73" t="s">
        <v>1046</v>
      </c>
      <c r="C595" s="74" t="s">
        <v>1047</v>
      </c>
      <c r="D595" s="39" t="s">
        <v>652</v>
      </c>
      <c r="E595" s="39" t="s">
        <v>770</v>
      </c>
      <c r="F595" s="77" t="s">
        <v>1135</v>
      </c>
      <c r="G595" s="58"/>
    </row>
    <row r="596" spans="1:7" x14ac:dyDescent="0.3">
      <c r="A596" s="44">
        <v>595</v>
      </c>
      <c r="B596" s="59" t="s">
        <v>1048</v>
      </c>
      <c r="C596" s="74" t="s">
        <v>1047</v>
      </c>
      <c r="D596" s="39" t="s">
        <v>652</v>
      </c>
      <c r="E596" s="39" t="s">
        <v>771</v>
      </c>
      <c r="F596" s="77" t="s">
        <v>1135</v>
      </c>
      <c r="G596" s="58"/>
    </row>
    <row r="597" spans="1:7" x14ac:dyDescent="0.3">
      <c r="A597" s="44">
        <v>596</v>
      </c>
      <c r="B597" s="55" t="s">
        <v>719</v>
      </c>
      <c r="C597" s="34" t="s">
        <v>1047</v>
      </c>
      <c r="D597" s="34" t="s">
        <v>782</v>
      </c>
      <c r="E597" s="34" t="s">
        <v>770</v>
      </c>
      <c r="F597" s="54" t="s">
        <v>1135</v>
      </c>
      <c r="G597" s="56"/>
    </row>
    <row r="598" spans="1:7" x14ac:dyDescent="0.3">
      <c r="A598" s="44">
        <v>597</v>
      </c>
      <c r="B598" s="73" t="s">
        <v>1049</v>
      </c>
      <c r="C598" s="74" t="s">
        <v>1050</v>
      </c>
      <c r="D598" s="39" t="s">
        <v>652</v>
      </c>
      <c r="E598" s="39" t="s">
        <v>770</v>
      </c>
      <c r="F598" s="77" t="s">
        <v>1135</v>
      </c>
      <c r="G598" s="58"/>
    </row>
    <row r="599" spans="1:7" x14ac:dyDescent="0.3">
      <c r="A599" s="44">
        <v>598</v>
      </c>
      <c r="B599" s="73" t="s">
        <v>1051</v>
      </c>
      <c r="C599" s="74" t="s">
        <v>1050</v>
      </c>
      <c r="D599" s="39" t="s">
        <v>652</v>
      </c>
      <c r="E599" s="39" t="s">
        <v>771</v>
      </c>
      <c r="F599" s="77" t="s">
        <v>1135</v>
      </c>
      <c r="G599" s="58"/>
    </row>
    <row r="600" spans="1:7" x14ac:dyDescent="0.3">
      <c r="A600" s="44">
        <v>599</v>
      </c>
      <c r="B600" s="59" t="s">
        <v>1052</v>
      </c>
      <c r="C600" s="39" t="s">
        <v>1053</v>
      </c>
      <c r="D600" s="39" t="s">
        <v>652</v>
      </c>
      <c r="E600" s="39" t="s">
        <v>770</v>
      </c>
      <c r="F600" s="77" t="s">
        <v>1135</v>
      </c>
      <c r="G600" s="58"/>
    </row>
    <row r="601" spans="1:7" x14ac:dyDescent="0.3">
      <c r="A601" s="44">
        <v>600</v>
      </c>
      <c r="B601" s="59" t="s">
        <v>751</v>
      </c>
      <c r="C601" s="39" t="s">
        <v>1053</v>
      </c>
      <c r="D601" s="39" t="s">
        <v>652</v>
      </c>
      <c r="E601" s="39" t="s">
        <v>771</v>
      </c>
      <c r="F601" s="77" t="s">
        <v>1135</v>
      </c>
      <c r="G601" s="58"/>
    </row>
    <row r="602" spans="1:7" x14ac:dyDescent="0.3">
      <c r="A602" s="44">
        <v>601</v>
      </c>
      <c r="B602" s="73" t="s">
        <v>603</v>
      </c>
      <c r="C602" s="74" t="s">
        <v>1054</v>
      </c>
      <c r="D602" s="39" t="s">
        <v>652</v>
      </c>
      <c r="E602" s="39" t="s">
        <v>770</v>
      </c>
      <c r="F602" s="77" t="s">
        <v>1135</v>
      </c>
      <c r="G602" s="58"/>
    </row>
    <row r="603" spans="1:7" x14ac:dyDescent="0.3">
      <c r="A603" s="44">
        <v>602</v>
      </c>
      <c r="B603" s="73" t="s">
        <v>1055</v>
      </c>
      <c r="C603" s="74" t="s">
        <v>1054</v>
      </c>
      <c r="D603" s="39" t="s">
        <v>652</v>
      </c>
      <c r="E603" s="39" t="s">
        <v>771</v>
      </c>
      <c r="F603" s="77" t="s">
        <v>1135</v>
      </c>
      <c r="G603" s="58"/>
    </row>
    <row r="604" spans="1:7" x14ac:dyDescent="0.3">
      <c r="A604" s="44">
        <v>603</v>
      </c>
      <c r="B604" s="55" t="s">
        <v>1056</v>
      </c>
      <c r="C604" s="34" t="s">
        <v>500</v>
      </c>
      <c r="D604" s="34" t="s">
        <v>782</v>
      </c>
      <c r="E604" s="34" t="s">
        <v>771</v>
      </c>
      <c r="F604" s="54" t="s">
        <v>1135</v>
      </c>
      <c r="G604" s="56"/>
    </row>
    <row r="605" spans="1:7" x14ac:dyDescent="0.3">
      <c r="A605" s="44">
        <v>604</v>
      </c>
      <c r="B605" s="64" t="s">
        <v>1057</v>
      </c>
      <c r="C605" s="61" t="s">
        <v>1058</v>
      </c>
      <c r="D605" s="34" t="s">
        <v>782</v>
      </c>
      <c r="E605" s="34" t="s">
        <v>771</v>
      </c>
      <c r="F605" s="54" t="s">
        <v>1135</v>
      </c>
      <c r="G605" s="56"/>
    </row>
    <row r="606" spans="1:7" x14ac:dyDescent="0.3">
      <c r="A606" s="44">
        <v>605</v>
      </c>
      <c r="B606" s="37" t="s">
        <v>1059</v>
      </c>
      <c r="C606" s="31" t="s">
        <v>1060</v>
      </c>
      <c r="D606" s="31" t="s">
        <v>776</v>
      </c>
      <c r="E606" s="31" t="s">
        <v>770</v>
      </c>
      <c r="F606" s="80" t="s">
        <v>1135</v>
      </c>
      <c r="G606" s="89"/>
    </row>
    <row r="607" spans="1:7" x14ac:dyDescent="0.3">
      <c r="A607" s="44">
        <v>606</v>
      </c>
      <c r="B607" s="37" t="s">
        <v>1061</v>
      </c>
      <c r="C607" s="31" t="s">
        <v>1060</v>
      </c>
      <c r="D607" s="31" t="s">
        <v>776</v>
      </c>
      <c r="E607" s="31" t="s">
        <v>771</v>
      </c>
      <c r="F607" s="80" t="s">
        <v>1135</v>
      </c>
      <c r="G607" s="89"/>
    </row>
    <row r="608" spans="1:7" x14ac:dyDescent="0.3">
      <c r="A608" s="44">
        <v>607</v>
      </c>
      <c r="B608" s="65" t="s">
        <v>535</v>
      </c>
      <c r="C608" s="66" t="s">
        <v>1060</v>
      </c>
      <c r="D608" s="66" t="s">
        <v>776</v>
      </c>
      <c r="E608" s="66" t="s">
        <v>772</v>
      </c>
      <c r="F608" s="82" t="s">
        <v>1135</v>
      </c>
      <c r="G608" s="89"/>
    </row>
    <row r="609" spans="1:6" x14ac:dyDescent="0.3">
      <c r="A609" s="44">
        <v>608</v>
      </c>
      <c r="B609" s="84" t="s">
        <v>1230</v>
      </c>
      <c r="C609" s="83" t="s">
        <v>1231</v>
      </c>
      <c r="D609" s="83" t="s">
        <v>657</v>
      </c>
      <c r="E609" s="83" t="s">
        <v>770</v>
      </c>
      <c r="F609" s="86" t="s">
        <v>1232</v>
      </c>
    </row>
    <row r="610" spans="1:6" x14ac:dyDescent="0.3">
      <c r="A610" s="44">
        <v>609</v>
      </c>
      <c r="B610" s="84" t="s">
        <v>1233</v>
      </c>
      <c r="C610" s="83" t="s">
        <v>1231</v>
      </c>
      <c r="D610" s="83" t="s">
        <v>657</v>
      </c>
      <c r="E610" s="83" t="s">
        <v>772</v>
      </c>
      <c r="F610" s="86" t="s">
        <v>1232</v>
      </c>
    </row>
    <row r="611" spans="1:6" x14ac:dyDescent="0.3">
      <c r="A611" s="44">
        <v>610</v>
      </c>
      <c r="B611" s="84" t="s">
        <v>755</v>
      </c>
      <c r="C611" s="83" t="s">
        <v>1231</v>
      </c>
      <c r="D611" s="83" t="s">
        <v>657</v>
      </c>
      <c r="E611" s="83" t="s">
        <v>771</v>
      </c>
      <c r="F611" s="86" t="s">
        <v>1232</v>
      </c>
    </row>
    <row r="612" spans="1:6" x14ac:dyDescent="0.3">
      <c r="A612" s="44">
        <v>611</v>
      </c>
      <c r="B612" s="84" t="s">
        <v>1234</v>
      </c>
      <c r="C612" s="83" t="s">
        <v>1235</v>
      </c>
      <c r="D612" s="83" t="s">
        <v>657</v>
      </c>
      <c r="E612" s="83" t="s">
        <v>770</v>
      </c>
      <c r="F612" s="86" t="s">
        <v>1232</v>
      </c>
    </row>
    <row r="613" spans="1:6" x14ac:dyDescent="0.3">
      <c r="A613" s="44">
        <v>612</v>
      </c>
      <c r="B613" s="84" t="s">
        <v>1236</v>
      </c>
      <c r="C613" s="83" t="s">
        <v>1235</v>
      </c>
      <c r="D613" s="83" t="s">
        <v>657</v>
      </c>
      <c r="E613" s="83" t="s">
        <v>772</v>
      </c>
      <c r="F613" s="86" t="s">
        <v>1232</v>
      </c>
    </row>
    <row r="614" spans="1:6" x14ac:dyDescent="0.3">
      <c r="A614" s="44">
        <v>613</v>
      </c>
      <c r="B614" s="84" t="s">
        <v>1237</v>
      </c>
      <c r="C614" s="83" t="s">
        <v>1235</v>
      </c>
      <c r="D614" s="83" t="s">
        <v>657</v>
      </c>
      <c r="E614" s="83" t="s">
        <v>771</v>
      </c>
      <c r="F614" s="86" t="s">
        <v>1232</v>
      </c>
    </row>
    <row r="615" spans="1:6" x14ac:dyDescent="0.3">
      <c r="A615" s="44">
        <v>614</v>
      </c>
      <c r="B615" s="84" t="s">
        <v>1238</v>
      </c>
      <c r="C615" s="83" t="s">
        <v>1239</v>
      </c>
      <c r="D615" s="83" t="s">
        <v>657</v>
      </c>
      <c r="E615" s="83" t="s">
        <v>770</v>
      </c>
      <c r="F615" s="86" t="s">
        <v>1232</v>
      </c>
    </row>
    <row r="616" spans="1:6" x14ac:dyDescent="0.3">
      <c r="A616" s="44">
        <v>615</v>
      </c>
      <c r="B616" s="84" t="s">
        <v>583</v>
      </c>
      <c r="C616" s="83" t="s">
        <v>1239</v>
      </c>
      <c r="D616" s="83" t="s">
        <v>657</v>
      </c>
      <c r="E616" s="83" t="s">
        <v>772</v>
      </c>
      <c r="F616" s="86" t="s">
        <v>1232</v>
      </c>
    </row>
    <row r="617" spans="1:6" x14ac:dyDescent="0.3">
      <c r="A617" s="44">
        <v>616</v>
      </c>
      <c r="B617" s="84" t="s">
        <v>1240</v>
      </c>
      <c r="C617" s="83" t="s">
        <v>1239</v>
      </c>
      <c r="D617" s="83" t="s">
        <v>657</v>
      </c>
      <c r="E617" s="83" t="s">
        <v>771</v>
      </c>
      <c r="F617" s="86" t="s">
        <v>1232</v>
      </c>
    </row>
    <row r="618" spans="1:6" x14ac:dyDescent="0.3">
      <c r="A618" s="44">
        <v>617</v>
      </c>
      <c r="B618" s="84" t="s">
        <v>1241</v>
      </c>
      <c r="C618" s="83" t="s">
        <v>1242</v>
      </c>
      <c r="D618" s="83" t="s">
        <v>652</v>
      </c>
      <c r="E618" s="83" t="s">
        <v>771</v>
      </c>
      <c r="F618" s="86" t="s">
        <v>1232</v>
      </c>
    </row>
    <row r="619" spans="1:6" x14ac:dyDescent="0.3">
      <c r="A619" s="44">
        <v>618</v>
      </c>
      <c r="B619" s="84" t="s">
        <v>1243</v>
      </c>
      <c r="C619" s="83" t="s">
        <v>692</v>
      </c>
      <c r="D619" s="83" t="s">
        <v>657</v>
      </c>
      <c r="E619" s="83" t="s">
        <v>770</v>
      </c>
      <c r="F619" s="86" t="s">
        <v>1232</v>
      </c>
    </row>
    <row r="620" spans="1:6" x14ac:dyDescent="0.3">
      <c r="A620" s="44">
        <v>619</v>
      </c>
      <c r="B620" s="84" t="s">
        <v>1244</v>
      </c>
      <c r="C620" s="83" t="s">
        <v>692</v>
      </c>
      <c r="D620" s="83" t="s">
        <v>657</v>
      </c>
      <c r="E620" s="83" t="s">
        <v>772</v>
      </c>
      <c r="F620" s="86" t="s">
        <v>1232</v>
      </c>
    </row>
    <row r="621" spans="1:6" x14ac:dyDescent="0.3">
      <c r="A621" s="44">
        <v>620</v>
      </c>
      <c r="B621" s="84" t="s">
        <v>1245</v>
      </c>
      <c r="C621" s="83" t="s">
        <v>692</v>
      </c>
      <c r="D621" s="83" t="s">
        <v>657</v>
      </c>
      <c r="E621" s="83" t="s">
        <v>771</v>
      </c>
      <c r="F621" s="86" t="s">
        <v>1232</v>
      </c>
    </row>
    <row r="622" spans="1:6" x14ac:dyDescent="0.3">
      <c r="A622" s="44">
        <v>621</v>
      </c>
      <c r="B622" s="84" t="s">
        <v>1246</v>
      </c>
      <c r="C622" s="83" t="s">
        <v>1247</v>
      </c>
      <c r="D622" s="83" t="s">
        <v>657</v>
      </c>
      <c r="E622" s="83" t="s">
        <v>770</v>
      </c>
      <c r="F622" s="86" t="s">
        <v>1232</v>
      </c>
    </row>
    <row r="623" spans="1:6" x14ac:dyDescent="0.3">
      <c r="A623" s="44">
        <v>622</v>
      </c>
      <c r="B623" s="84" t="s">
        <v>1248</v>
      </c>
      <c r="C623" s="83" t="s">
        <v>1247</v>
      </c>
      <c r="D623" s="83" t="s">
        <v>657</v>
      </c>
      <c r="E623" s="83" t="s">
        <v>772</v>
      </c>
      <c r="F623" s="86" t="s">
        <v>1232</v>
      </c>
    </row>
    <row r="624" spans="1:6" x14ac:dyDescent="0.3">
      <c r="A624" s="44">
        <v>623</v>
      </c>
      <c r="B624" s="84" t="s">
        <v>1249</v>
      </c>
      <c r="C624" s="83" t="s">
        <v>1247</v>
      </c>
      <c r="D624" s="83" t="s">
        <v>657</v>
      </c>
      <c r="E624" s="83" t="s">
        <v>771</v>
      </c>
      <c r="F624" s="86" t="s">
        <v>1232</v>
      </c>
    </row>
    <row r="625" spans="1:6" x14ac:dyDescent="0.3">
      <c r="A625" s="44">
        <v>624</v>
      </c>
      <c r="B625" s="84" t="s">
        <v>1250</v>
      </c>
      <c r="C625" s="83" t="s">
        <v>1251</v>
      </c>
      <c r="D625" s="83" t="s">
        <v>657</v>
      </c>
      <c r="E625" s="83" t="s">
        <v>770</v>
      </c>
      <c r="F625" s="86" t="s">
        <v>1232</v>
      </c>
    </row>
    <row r="626" spans="1:6" x14ac:dyDescent="0.3">
      <c r="A626" s="44">
        <v>625</v>
      </c>
      <c r="B626" s="84" t="s">
        <v>1252</v>
      </c>
      <c r="C626" s="83" t="s">
        <v>1251</v>
      </c>
      <c r="D626" s="83" t="s">
        <v>657</v>
      </c>
      <c r="E626" s="83" t="s">
        <v>772</v>
      </c>
      <c r="F626" s="86" t="s">
        <v>1232</v>
      </c>
    </row>
    <row r="627" spans="1:6" x14ac:dyDescent="0.3">
      <c r="A627" s="44">
        <v>626</v>
      </c>
      <c r="B627" s="84" t="s">
        <v>1253</v>
      </c>
      <c r="C627" s="83" t="s">
        <v>1251</v>
      </c>
      <c r="D627" s="83" t="s">
        <v>657</v>
      </c>
      <c r="E627" s="83" t="s">
        <v>771</v>
      </c>
      <c r="F627" s="86" t="s">
        <v>1232</v>
      </c>
    </row>
    <row r="628" spans="1:6" x14ac:dyDescent="0.3">
      <c r="A628" s="44">
        <v>627</v>
      </c>
      <c r="B628" s="84" t="s">
        <v>1254</v>
      </c>
      <c r="C628" s="83" t="s">
        <v>1255</v>
      </c>
      <c r="D628" s="83" t="s">
        <v>657</v>
      </c>
      <c r="E628" s="83" t="s">
        <v>770</v>
      </c>
      <c r="F628" s="86" t="s">
        <v>1232</v>
      </c>
    </row>
    <row r="629" spans="1:6" x14ac:dyDescent="0.3">
      <c r="A629" s="44">
        <v>628</v>
      </c>
      <c r="B629" s="84" t="s">
        <v>1256</v>
      </c>
      <c r="C629" s="83" t="s">
        <v>1255</v>
      </c>
      <c r="D629" s="83" t="s">
        <v>657</v>
      </c>
      <c r="E629" s="83" t="s">
        <v>772</v>
      </c>
      <c r="F629" s="86" t="s">
        <v>1232</v>
      </c>
    </row>
    <row r="630" spans="1:6" x14ac:dyDescent="0.3">
      <c r="A630" s="44">
        <v>629</v>
      </c>
      <c r="B630" s="84" t="s">
        <v>1257</v>
      </c>
      <c r="C630" s="83" t="s">
        <v>1255</v>
      </c>
      <c r="D630" s="83" t="s">
        <v>657</v>
      </c>
      <c r="E630" s="83" t="s">
        <v>771</v>
      </c>
      <c r="F630" s="86" t="s">
        <v>1232</v>
      </c>
    </row>
    <row r="631" spans="1:6" x14ac:dyDescent="0.3">
      <c r="A631" s="44">
        <v>630</v>
      </c>
      <c r="B631" s="84" t="s">
        <v>1258</v>
      </c>
      <c r="C631" s="83" t="s">
        <v>700</v>
      </c>
      <c r="D631" s="83" t="s">
        <v>657</v>
      </c>
      <c r="E631" s="83" t="s">
        <v>770</v>
      </c>
      <c r="F631" s="86" t="s">
        <v>1232</v>
      </c>
    </row>
    <row r="632" spans="1:6" x14ac:dyDescent="0.3">
      <c r="A632" s="44">
        <v>631</v>
      </c>
      <c r="B632" s="84" t="s">
        <v>1259</v>
      </c>
      <c r="C632" s="83" t="s">
        <v>700</v>
      </c>
      <c r="D632" s="83" t="s">
        <v>657</v>
      </c>
      <c r="E632" s="83" t="s">
        <v>772</v>
      </c>
      <c r="F632" s="86" t="s">
        <v>1232</v>
      </c>
    </row>
    <row r="633" spans="1:6" x14ac:dyDescent="0.3">
      <c r="A633" s="44">
        <v>632</v>
      </c>
      <c r="B633" s="84" t="s">
        <v>1260</v>
      </c>
      <c r="C633" s="83" t="s">
        <v>700</v>
      </c>
      <c r="D633" s="83" t="s">
        <v>657</v>
      </c>
      <c r="E633" s="83" t="s">
        <v>771</v>
      </c>
      <c r="F633" s="86" t="s">
        <v>1232</v>
      </c>
    </row>
    <row r="634" spans="1:6" x14ac:dyDescent="0.3">
      <c r="A634" s="44">
        <v>633</v>
      </c>
      <c r="B634" s="84" t="s">
        <v>680</v>
      </c>
      <c r="C634" s="83" t="s">
        <v>1261</v>
      </c>
      <c r="D634" s="83" t="s">
        <v>657</v>
      </c>
      <c r="E634" s="83" t="s">
        <v>770</v>
      </c>
      <c r="F634" s="86" t="s">
        <v>1232</v>
      </c>
    </row>
    <row r="635" spans="1:6" x14ac:dyDescent="0.3">
      <c r="A635" s="44">
        <v>634</v>
      </c>
      <c r="B635" s="84" t="s">
        <v>1262</v>
      </c>
      <c r="C635" s="83" t="s">
        <v>1261</v>
      </c>
      <c r="D635" s="83" t="s">
        <v>657</v>
      </c>
      <c r="E635" s="83" t="s">
        <v>772</v>
      </c>
      <c r="F635" s="86" t="s">
        <v>1232</v>
      </c>
    </row>
    <row r="636" spans="1:6" x14ac:dyDescent="0.3">
      <c r="A636" s="44">
        <v>635</v>
      </c>
      <c r="B636" s="84" t="s">
        <v>758</v>
      </c>
      <c r="C636" s="83" t="s">
        <v>1261</v>
      </c>
      <c r="D636" s="83" t="s">
        <v>657</v>
      </c>
      <c r="E636" s="83" t="s">
        <v>771</v>
      </c>
      <c r="F636" s="86" t="s">
        <v>1232</v>
      </c>
    </row>
    <row r="637" spans="1:6" x14ac:dyDescent="0.3">
      <c r="A637" s="44">
        <v>636</v>
      </c>
      <c r="B637" s="84" t="s">
        <v>1263</v>
      </c>
      <c r="C637" s="83" t="s">
        <v>1264</v>
      </c>
      <c r="D637" s="83" t="s">
        <v>657</v>
      </c>
      <c r="E637" s="83" t="s">
        <v>770</v>
      </c>
      <c r="F637" s="86" t="s">
        <v>1232</v>
      </c>
    </row>
    <row r="638" spans="1:6" x14ac:dyDescent="0.3">
      <c r="A638" s="44">
        <v>637</v>
      </c>
      <c r="B638" s="84" t="s">
        <v>1265</v>
      </c>
      <c r="C638" s="83" t="s">
        <v>1264</v>
      </c>
      <c r="D638" s="83" t="s">
        <v>657</v>
      </c>
      <c r="E638" s="83" t="s">
        <v>772</v>
      </c>
      <c r="F638" s="86" t="s">
        <v>1232</v>
      </c>
    </row>
    <row r="639" spans="1:6" x14ac:dyDescent="0.3">
      <c r="A639" s="44">
        <v>638</v>
      </c>
      <c r="B639" s="84" t="s">
        <v>1266</v>
      </c>
      <c r="C639" s="83" t="s">
        <v>1264</v>
      </c>
      <c r="D639" s="83" t="s">
        <v>657</v>
      </c>
      <c r="E639" s="83" t="s">
        <v>771</v>
      </c>
      <c r="F639" s="86" t="s">
        <v>1232</v>
      </c>
    </row>
    <row r="640" spans="1:6" x14ac:dyDescent="0.3">
      <c r="A640" s="44">
        <v>639</v>
      </c>
      <c r="B640" s="84" t="s">
        <v>714</v>
      </c>
      <c r="C640" s="83" t="s">
        <v>1004</v>
      </c>
      <c r="D640" s="83" t="s">
        <v>652</v>
      </c>
      <c r="E640" s="83" t="s">
        <v>770</v>
      </c>
      <c r="F640" s="86" t="s">
        <v>1232</v>
      </c>
    </row>
    <row r="641" spans="1:6" x14ac:dyDescent="0.3">
      <c r="A641" s="44">
        <v>640</v>
      </c>
      <c r="B641" s="84" t="s">
        <v>1267</v>
      </c>
      <c r="C641" s="83" t="s">
        <v>1004</v>
      </c>
      <c r="D641" s="83" t="s">
        <v>652</v>
      </c>
      <c r="E641" s="83" t="s">
        <v>771</v>
      </c>
      <c r="F641" s="86" t="s">
        <v>1232</v>
      </c>
    </row>
    <row r="642" spans="1:6" x14ac:dyDescent="0.3">
      <c r="A642" s="44">
        <v>641</v>
      </c>
      <c r="B642" s="84" t="s">
        <v>1268</v>
      </c>
      <c r="C642" s="83" t="s">
        <v>1107</v>
      </c>
      <c r="D642" s="83" t="s">
        <v>652</v>
      </c>
      <c r="E642" s="83" t="s">
        <v>770</v>
      </c>
      <c r="F642" s="86" t="s">
        <v>1232</v>
      </c>
    </row>
    <row r="643" spans="1:6" x14ac:dyDescent="0.3">
      <c r="A643" s="44">
        <v>642</v>
      </c>
      <c r="B643" s="84" t="s">
        <v>1269</v>
      </c>
      <c r="C643" s="83" t="s">
        <v>1107</v>
      </c>
      <c r="D643" s="83" t="s">
        <v>652</v>
      </c>
      <c r="E643" s="83" t="s">
        <v>771</v>
      </c>
      <c r="F643" s="86" t="s">
        <v>1232</v>
      </c>
    </row>
    <row r="644" spans="1:6" x14ac:dyDescent="0.3">
      <c r="A644" s="44">
        <v>643</v>
      </c>
      <c r="B644" s="84" t="s">
        <v>1117</v>
      </c>
      <c r="C644" s="83" t="s">
        <v>1027</v>
      </c>
      <c r="D644" s="83" t="s">
        <v>652</v>
      </c>
      <c r="E644" s="83" t="s">
        <v>770</v>
      </c>
      <c r="F644" s="86" t="s">
        <v>1232</v>
      </c>
    </row>
    <row r="645" spans="1:6" x14ac:dyDescent="0.3">
      <c r="A645" s="44">
        <v>644</v>
      </c>
      <c r="B645" s="84" t="s">
        <v>763</v>
      </c>
      <c r="C645" s="83" t="s">
        <v>1027</v>
      </c>
      <c r="D645" s="83" t="s">
        <v>652</v>
      </c>
      <c r="E645" s="83" t="s">
        <v>771</v>
      </c>
      <c r="F645" s="86" t="s">
        <v>1232</v>
      </c>
    </row>
    <row r="646" spans="1:6" x14ac:dyDescent="0.3">
      <c r="A646" s="44">
        <v>645</v>
      </c>
      <c r="B646" s="84" t="s">
        <v>737</v>
      </c>
      <c r="C646" s="83" t="s">
        <v>1270</v>
      </c>
      <c r="D646" s="83" t="s">
        <v>652</v>
      </c>
      <c r="E646" s="83" t="s">
        <v>770</v>
      </c>
      <c r="F646" s="86" t="s">
        <v>1232</v>
      </c>
    </row>
    <row r="647" spans="1:6" x14ac:dyDescent="0.3">
      <c r="A647" s="44">
        <v>646</v>
      </c>
      <c r="B647" s="84" t="s">
        <v>736</v>
      </c>
      <c r="C647" s="83" t="s">
        <v>1270</v>
      </c>
      <c r="D647" s="83" t="s">
        <v>652</v>
      </c>
      <c r="E647" s="83" t="s">
        <v>771</v>
      </c>
      <c r="F647" s="86" t="s">
        <v>1232</v>
      </c>
    </row>
    <row r="648" spans="1:6" x14ac:dyDescent="0.3">
      <c r="A648" s="44">
        <v>647</v>
      </c>
      <c r="B648" s="84" t="s">
        <v>1271</v>
      </c>
      <c r="C648" s="83" t="s">
        <v>1272</v>
      </c>
      <c r="D648" s="83" t="s">
        <v>776</v>
      </c>
      <c r="E648" s="83" t="s">
        <v>770</v>
      </c>
      <c r="F648" s="86" t="s">
        <v>1232</v>
      </c>
    </row>
    <row r="649" spans="1:6" x14ac:dyDescent="0.3">
      <c r="A649" s="44">
        <v>648</v>
      </c>
      <c r="B649" s="84" t="s">
        <v>1105</v>
      </c>
      <c r="C649" s="83" t="s">
        <v>1053</v>
      </c>
      <c r="D649" s="83" t="s">
        <v>652</v>
      </c>
      <c r="E649" s="83" t="s">
        <v>770</v>
      </c>
      <c r="F649" s="86" t="s">
        <v>1232</v>
      </c>
    </row>
    <row r="650" spans="1:6" x14ac:dyDescent="0.3">
      <c r="A650" s="44">
        <v>649</v>
      </c>
      <c r="B650" s="84" t="s">
        <v>1273</v>
      </c>
      <c r="C650" s="83" t="s">
        <v>1053</v>
      </c>
      <c r="D650" s="83" t="s">
        <v>652</v>
      </c>
      <c r="E650" s="83" t="s">
        <v>771</v>
      </c>
      <c r="F650" s="86" t="s">
        <v>1232</v>
      </c>
    </row>
    <row r="651" spans="1:6" x14ac:dyDescent="0.3">
      <c r="A651" s="44">
        <v>650</v>
      </c>
      <c r="B651" s="84" t="s">
        <v>1274</v>
      </c>
      <c r="C651" s="83" t="s">
        <v>1275</v>
      </c>
      <c r="D651" s="83" t="s">
        <v>651</v>
      </c>
      <c r="E651" s="83" t="s">
        <v>770</v>
      </c>
      <c r="F651" s="86" t="s">
        <v>1276</v>
      </c>
    </row>
    <row r="652" spans="1:6" x14ac:dyDescent="0.3">
      <c r="A652" s="44">
        <v>651</v>
      </c>
      <c r="B652" s="84" t="s">
        <v>551</v>
      </c>
      <c r="C652" s="83" t="s">
        <v>1275</v>
      </c>
      <c r="D652" s="83" t="s">
        <v>651</v>
      </c>
      <c r="E652" s="83" t="s">
        <v>771</v>
      </c>
      <c r="F652" s="86" t="s">
        <v>1276</v>
      </c>
    </row>
    <row r="653" spans="1:6" x14ac:dyDescent="0.3">
      <c r="A653" s="44">
        <v>652</v>
      </c>
      <c r="B653" s="84" t="s">
        <v>1277</v>
      </c>
      <c r="C653" s="83" t="s">
        <v>1278</v>
      </c>
      <c r="D653" s="83" t="s">
        <v>651</v>
      </c>
      <c r="E653" s="83" t="s">
        <v>770</v>
      </c>
      <c r="F653" s="86" t="s">
        <v>1276</v>
      </c>
    </row>
    <row r="654" spans="1:6" x14ac:dyDescent="0.3">
      <c r="A654" s="44">
        <v>653</v>
      </c>
      <c r="B654" s="84" t="s">
        <v>1279</v>
      </c>
      <c r="C654" s="83" t="s">
        <v>1278</v>
      </c>
      <c r="D654" s="83" t="s">
        <v>651</v>
      </c>
      <c r="E654" s="83" t="s">
        <v>771</v>
      </c>
      <c r="F654" s="86" t="s">
        <v>1276</v>
      </c>
    </row>
    <row r="655" spans="1:6" x14ac:dyDescent="0.3">
      <c r="A655" s="44">
        <v>654</v>
      </c>
      <c r="B655" s="84" t="s">
        <v>1280</v>
      </c>
      <c r="C655" s="83" t="s">
        <v>1281</v>
      </c>
      <c r="D655" s="83" t="s">
        <v>651</v>
      </c>
      <c r="E655" s="83" t="s">
        <v>770</v>
      </c>
      <c r="F655" s="86" t="s">
        <v>1276</v>
      </c>
    </row>
    <row r="656" spans="1:6" x14ac:dyDescent="0.3">
      <c r="A656" s="44">
        <v>655</v>
      </c>
      <c r="B656" s="84" t="s">
        <v>1282</v>
      </c>
      <c r="C656" s="83" t="s">
        <v>1281</v>
      </c>
      <c r="D656" s="83" t="s">
        <v>651</v>
      </c>
      <c r="E656" s="83" t="s">
        <v>771</v>
      </c>
      <c r="F656" s="86" t="s">
        <v>1276</v>
      </c>
    </row>
    <row r="657" spans="1:6" x14ac:dyDescent="0.3">
      <c r="A657" s="44">
        <v>656</v>
      </c>
      <c r="B657" s="84" t="s">
        <v>1283</v>
      </c>
      <c r="C657" s="83" t="s">
        <v>500</v>
      </c>
      <c r="D657" s="83" t="s">
        <v>651</v>
      </c>
      <c r="E657" s="83" t="s">
        <v>771</v>
      </c>
      <c r="F657" s="86" t="s">
        <v>1276</v>
      </c>
    </row>
    <row r="658" spans="1:6" x14ac:dyDescent="0.3">
      <c r="A658" s="44">
        <v>657</v>
      </c>
      <c r="B658" s="84" t="s">
        <v>1284</v>
      </c>
      <c r="C658" s="83" t="s">
        <v>506</v>
      </c>
      <c r="D658" s="83" t="s">
        <v>651</v>
      </c>
      <c r="E658" s="83" t="s">
        <v>771</v>
      </c>
      <c r="F658" s="86" t="s">
        <v>1276</v>
      </c>
    </row>
    <row r="659" spans="1:6" x14ac:dyDescent="0.3">
      <c r="A659" s="44">
        <v>658</v>
      </c>
      <c r="B659" s="84" t="s">
        <v>762</v>
      </c>
      <c r="C659" s="83" t="s">
        <v>502</v>
      </c>
      <c r="D659" s="83" t="s">
        <v>651</v>
      </c>
      <c r="E659" s="83" t="s">
        <v>771</v>
      </c>
      <c r="F659" s="86" t="s">
        <v>1276</v>
      </c>
    </row>
    <row r="660" spans="1:6" x14ac:dyDescent="0.3">
      <c r="A660" s="44">
        <v>659</v>
      </c>
      <c r="B660" s="84" t="s">
        <v>1285</v>
      </c>
      <c r="C660" s="83" t="s">
        <v>1286</v>
      </c>
      <c r="D660" s="83" t="s">
        <v>652</v>
      </c>
      <c r="E660" s="83" t="s">
        <v>772</v>
      </c>
      <c r="F660" s="86" t="s">
        <v>1287</v>
      </c>
    </row>
    <row r="661" spans="1:6" x14ac:dyDescent="0.3">
      <c r="A661" s="44">
        <v>660</v>
      </c>
      <c r="B661" s="84" t="s">
        <v>1288</v>
      </c>
      <c r="C661" s="83" t="s">
        <v>1289</v>
      </c>
      <c r="D661" s="83" t="s">
        <v>651</v>
      </c>
      <c r="E661" s="83" t="s">
        <v>770</v>
      </c>
      <c r="F661" s="86" t="s">
        <v>1287</v>
      </c>
    </row>
    <row r="662" spans="1:6" x14ac:dyDescent="0.3">
      <c r="A662" s="44">
        <v>661</v>
      </c>
      <c r="B662" s="84" t="s">
        <v>1290</v>
      </c>
      <c r="C662" s="83" t="s">
        <v>1289</v>
      </c>
      <c r="D662" s="83" t="s">
        <v>651</v>
      </c>
      <c r="E662" s="83" t="s">
        <v>771</v>
      </c>
      <c r="F662" s="86" t="s">
        <v>1287</v>
      </c>
    </row>
    <row r="663" spans="1:6" x14ac:dyDescent="0.3">
      <c r="A663" s="44">
        <v>662</v>
      </c>
      <c r="B663" s="84" t="s">
        <v>1291</v>
      </c>
      <c r="C663" s="83" t="s">
        <v>1292</v>
      </c>
      <c r="D663" s="83" t="s">
        <v>651</v>
      </c>
      <c r="E663" s="83" t="s">
        <v>770</v>
      </c>
      <c r="F663" s="86" t="s">
        <v>1287</v>
      </c>
    </row>
    <row r="664" spans="1:6" x14ac:dyDescent="0.3">
      <c r="A664" s="44">
        <v>663</v>
      </c>
      <c r="B664" s="84" t="s">
        <v>752</v>
      </c>
      <c r="C664" s="83" t="s">
        <v>1292</v>
      </c>
      <c r="D664" s="83" t="s">
        <v>651</v>
      </c>
      <c r="E664" s="83" t="s">
        <v>771</v>
      </c>
      <c r="F664" s="86" t="s">
        <v>1287</v>
      </c>
    </row>
    <row r="665" spans="1:6" x14ac:dyDescent="0.3">
      <c r="A665" s="44">
        <v>664</v>
      </c>
      <c r="B665" s="84" t="s">
        <v>1293</v>
      </c>
      <c r="C665" s="83" t="s">
        <v>1294</v>
      </c>
      <c r="D665" s="83" t="s">
        <v>651</v>
      </c>
      <c r="E665" s="83" t="s">
        <v>771</v>
      </c>
      <c r="F665" s="86" t="s">
        <v>1287</v>
      </c>
    </row>
    <row r="666" spans="1:6" x14ac:dyDescent="0.3">
      <c r="B666" s="85"/>
      <c r="F666" s="54"/>
    </row>
    <row r="667" spans="1:6" x14ac:dyDescent="0.3">
      <c r="B667" s="85"/>
      <c r="F667" s="87"/>
    </row>
  </sheetData>
  <conditionalFormatting sqref="B1:B1048576">
    <cfRule type="duplicateValues" dxfId="16" priority="1"/>
  </conditionalFormatting>
  <conditionalFormatting sqref="D2:D196 K93 D198:D365 C368:D370 D371 C372:D375 D376 C377:D392 D393:D398 C399:D399 D400 C401:D403 D404 C405:D413 D414 C415:D416 D417:D420 C421:D432">
    <cfRule type="expression" dxfId="15" priority="63" stopIfTrue="1">
      <formula>AND(C2&lt;&gt;"", COUNTIF($C$2:$C$667, C2)=2)</formula>
    </cfRule>
    <cfRule type="expression" dxfId="14" priority="64" stopIfTrue="1">
      <formula>AND(C2&lt;&gt;"", COUNTIF($C$2:$C$667, C2)=1)</formula>
    </cfRule>
  </conditionalFormatting>
  <conditionalFormatting sqref="D433:D608">
    <cfRule type="expression" dxfId="13" priority="7" stopIfTrue="1">
      <formula>AND(D433&lt;&gt;"", COUNTIF($C$2:$C$430, D433)=2)</formula>
    </cfRule>
    <cfRule type="expression" dxfId="12" priority="8" stopIfTrue="1">
      <formula>AND(D433&lt;&gt;"", COUNTIF($C$2:$C$430, D433)=1)</formula>
    </cfRule>
  </conditionalFormatting>
  <conditionalFormatting sqref="H356">
    <cfRule type="duplicateValues" dxfId="11" priority="9"/>
    <cfRule type="duplicateValues" dxfId="10" priority="10"/>
  </conditionalFormatting>
  <conditionalFormatting sqref="H367">
    <cfRule type="duplicateValues" dxfId="9" priority="21"/>
    <cfRule type="duplicateValues" dxfId="8" priority="22"/>
  </conditionalFormatting>
  <conditionalFormatting sqref="I93">
    <cfRule type="duplicateValues" dxfId="7" priority="15"/>
    <cfRule type="duplicateValues" dxfId="6" priority="18"/>
  </conditionalFormatting>
  <pageMargins left="0.7" right="0.7" top="0.75" bottom="0.75" header="0.3" footer="0.3"/>
  <pageSetup scale="21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50A1-6276-49D3-A499-84BB60758EC3}">
  <dimension ref="A1:D194"/>
  <sheetViews>
    <sheetView workbookViewId="0">
      <selection sqref="A1:D194"/>
    </sheetView>
  </sheetViews>
  <sheetFormatPr baseColWidth="10" defaultColWidth="11.44140625" defaultRowHeight="14.4" x14ac:dyDescent="0.3"/>
  <sheetData>
    <row r="1" spans="1:4" x14ac:dyDescent="0.3">
      <c r="A1" s="67" t="s">
        <v>855</v>
      </c>
      <c r="B1" s="68" t="s">
        <v>1062</v>
      </c>
      <c r="C1" s="68" t="s">
        <v>652</v>
      </c>
      <c r="D1" s="69" t="s">
        <v>771</v>
      </c>
    </row>
    <row r="2" spans="1:4" x14ac:dyDescent="0.3">
      <c r="A2" s="68" t="s">
        <v>1063</v>
      </c>
      <c r="B2" s="68" t="s">
        <v>1062</v>
      </c>
      <c r="C2" s="68" t="s">
        <v>652</v>
      </c>
      <c r="D2" s="69" t="s">
        <v>770</v>
      </c>
    </row>
    <row r="3" spans="1:4" x14ac:dyDescent="0.3">
      <c r="A3" s="67" t="s">
        <v>866</v>
      </c>
      <c r="B3" s="68" t="s">
        <v>865</v>
      </c>
      <c r="C3" s="68" t="s">
        <v>652</v>
      </c>
      <c r="D3" s="69" t="s">
        <v>771</v>
      </c>
    </row>
    <row r="4" spans="1:4" x14ac:dyDescent="0.3">
      <c r="A4" s="67" t="s">
        <v>864</v>
      </c>
      <c r="B4" s="68" t="s">
        <v>865</v>
      </c>
      <c r="C4" s="68" t="s">
        <v>652</v>
      </c>
      <c r="D4" s="69" t="s">
        <v>770</v>
      </c>
    </row>
    <row r="5" spans="1:4" x14ac:dyDescent="0.3">
      <c r="A5" s="68" t="s">
        <v>867</v>
      </c>
      <c r="B5" s="68" t="s">
        <v>868</v>
      </c>
      <c r="C5" s="68" t="s">
        <v>657</v>
      </c>
      <c r="D5" s="69" t="s">
        <v>770</v>
      </c>
    </row>
    <row r="6" spans="1:4" x14ac:dyDescent="0.3">
      <c r="A6" s="68" t="s">
        <v>870</v>
      </c>
      <c r="B6" s="68" t="s">
        <v>868</v>
      </c>
      <c r="C6" s="68" t="s">
        <v>657</v>
      </c>
      <c r="D6" s="69" t="s">
        <v>772</v>
      </c>
    </row>
    <row r="7" spans="1:4" x14ac:dyDescent="0.3">
      <c r="A7" s="67" t="s">
        <v>869</v>
      </c>
      <c r="B7" s="68" t="s">
        <v>868</v>
      </c>
      <c r="C7" s="68" t="s">
        <v>657</v>
      </c>
      <c r="D7" s="69" t="s">
        <v>771</v>
      </c>
    </row>
    <row r="8" spans="1:4" x14ac:dyDescent="0.3">
      <c r="A8" s="68" t="s">
        <v>903</v>
      </c>
      <c r="B8" s="68" t="s">
        <v>871</v>
      </c>
      <c r="C8" s="68" t="s">
        <v>657</v>
      </c>
      <c r="D8" s="69" t="s">
        <v>770</v>
      </c>
    </row>
    <row r="9" spans="1:4" x14ac:dyDescent="0.3">
      <c r="A9" s="68" t="s">
        <v>587</v>
      </c>
      <c r="B9" s="68" t="s">
        <v>871</v>
      </c>
      <c r="C9" s="68" t="s">
        <v>657</v>
      </c>
      <c r="D9" s="69" t="s">
        <v>772</v>
      </c>
    </row>
    <row r="10" spans="1:4" x14ac:dyDescent="0.3">
      <c r="A10" s="67" t="s">
        <v>872</v>
      </c>
      <c r="B10" s="68" t="s">
        <v>871</v>
      </c>
      <c r="C10" s="68" t="s">
        <v>657</v>
      </c>
      <c r="D10" s="69" t="s">
        <v>771</v>
      </c>
    </row>
    <row r="11" spans="1:4" x14ac:dyDescent="0.3">
      <c r="A11" s="68" t="s">
        <v>874</v>
      </c>
      <c r="B11" s="68" t="s">
        <v>875</v>
      </c>
      <c r="C11" s="68" t="s">
        <v>657</v>
      </c>
      <c r="D11" s="69" t="s">
        <v>770</v>
      </c>
    </row>
    <row r="12" spans="1:4" x14ac:dyDescent="0.3">
      <c r="A12" s="68" t="s">
        <v>1064</v>
      </c>
      <c r="B12" s="68" t="s">
        <v>875</v>
      </c>
      <c r="C12" s="68" t="s">
        <v>657</v>
      </c>
      <c r="D12" s="69" t="s">
        <v>772</v>
      </c>
    </row>
    <row r="13" spans="1:4" x14ac:dyDescent="0.3">
      <c r="A13" s="68" t="s">
        <v>838</v>
      </c>
      <c r="B13" s="68" t="s">
        <v>875</v>
      </c>
      <c r="C13" s="68" t="s">
        <v>657</v>
      </c>
      <c r="D13" s="69" t="s">
        <v>771</v>
      </c>
    </row>
    <row r="14" spans="1:4" x14ac:dyDescent="0.3">
      <c r="A14" s="67" t="s">
        <v>190</v>
      </c>
      <c r="B14" s="68" t="s">
        <v>878</v>
      </c>
      <c r="C14" s="68" t="s">
        <v>657</v>
      </c>
      <c r="D14" s="69" t="s">
        <v>770</v>
      </c>
    </row>
    <row r="15" spans="1:4" x14ac:dyDescent="0.3">
      <c r="A15" s="68" t="s">
        <v>1065</v>
      </c>
      <c r="B15" s="68" t="s">
        <v>878</v>
      </c>
      <c r="C15" s="68" t="s">
        <v>657</v>
      </c>
      <c r="D15" s="69" t="s">
        <v>772</v>
      </c>
    </row>
    <row r="16" spans="1:4" x14ac:dyDescent="0.3">
      <c r="A16" s="68" t="s">
        <v>879</v>
      </c>
      <c r="B16" s="68" t="s">
        <v>878</v>
      </c>
      <c r="C16" s="68" t="s">
        <v>657</v>
      </c>
      <c r="D16" s="69" t="s">
        <v>771</v>
      </c>
    </row>
    <row r="17" spans="1:4" x14ac:dyDescent="0.3">
      <c r="A17" s="68" t="s">
        <v>883</v>
      </c>
      <c r="B17" s="68" t="s">
        <v>1066</v>
      </c>
      <c r="C17" s="68" t="s">
        <v>657</v>
      </c>
      <c r="D17" s="69" t="s">
        <v>771</v>
      </c>
    </row>
    <row r="18" spans="1:4" x14ac:dyDescent="0.3">
      <c r="A18" s="67" t="s">
        <v>981</v>
      </c>
      <c r="B18" s="68" t="s">
        <v>1067</v>
      </c>
      <c r="C18" s="68" t="s">
        <v>651</v>
      </c>
      <c r="D18" s="69" t="s">
        <v>771</v>
      </c>
    </row>
    <row r="19" spans="1:4" x14ac:dyDescent="0.3">
      <c r="A19" s="68" t="s">
        <v>881</v>
      </c>
      <c r="B19" s="68" t="s">
        <v>882</v>
      </c>
      <c r="C19" s="68" t="s">
        <v>657</v>
      </c>
      <c r="D19" s="69" t="s">
        <v>770</v>
      </c>
    </row>
    <row r="20" spans="1:4" x14ac:dyDescent="0.3">
      <c r="A20" s="68" t="s">
        <v>884</v>
      </c>
      <c r="B20" s="68" t="s">
        <v>882</v>
      </c>
      <c r="C20" s="68" t="s">
        <v>657</v>
      </c>
      <c r="D20" s="69" t="s">
        <v>772</v>
      </c>
    </row>
    <row r="21" spans="1:4" x14ac:dyDescent="0.3">
      <c r="A21" s="67" t="s">
        <v>647</v>
      </c>
      <c r="B21" s="68" t="s">
        <v>886</v>
      </c>
      <c r="C21" s="68" t="s">
        <v>657</v>
      </c>
      <c r="D21" s="69" t="s">
        <v>770</v>
      </c>
    </row>
    <row r="22" spans="1:4" x14ac:dyDescent="0.3">
      <c r="A22" s="68" t="s">
        <v>887</v>
      </c>
      <c r="B22" s="68" t="s">
        <v>886</v>
      </c>
      <c r="C22" s="68" t="s">
        <v>657</v>
      </c>
      <c r="D22" s="69" t="s">
        <v>771</v>
      </c>
    </row>
    <row r="23" spans="1:4" x14ac:dyDescent="0.3">
      <c r="A23" s="68" t="s">
        <v>888</v>
      </c>
      <c r="B23" s="68" t="s">
        <v>886</v>
      </c>
      <c r="C23" s="68" t="s">
        <v>657</v>
      </c>
      <c r="D23" s="69" t="s">
        <v>772</v>
      </c>
    </row>
    <row r="24" spans="1:4" x14ac:dyDescent="0.3">
      <c r="A24" s="67" t="s">
        <v>764</v>
      </c>
      <c r="B24" s="68" t="s">
        <v>890</v>
      </c>
      <c r="C24" s="68" t="s">
        <v>657</v>
      </c>
      <c r="D24" s="69" t="s">
        <v>771</v>
      </c>
    </row>
    <row r="25" spans="1:4" x14ac:dyDescent="0.3">
      <c r="A25" s="68" t="s">
        <v>889</v>
      </c>
      <c r="B25" s="68" t="s">
        <v>890</v>
      </c>
      <c r="C25" s="68" t="s">
        <v>657</v>
      </c>
      <c r="D25" s="69" t="s">
        <v>770</v>
      </c>
    </row>
    <row r="26" spans="1:4" x14ac:dyDescent="0.3">
      <c r="A26" s="68" t="s">
        <v>891</v>
      </c>
      <c r="B26" s="68" t="s">
        <v>890</v>
      </c>
      <c r="C26" s="68" t="s">
        <v>657</v>
      </c>
      <c r="D26" s="69" t="s">
        <v>772</v>
      </c>
    </row>
    <row r="27" spans="1:4" x14ac:dyDescent="0.3">
      <c r="A27" s="67" t="s">
        <v>749</v>
      </c>
      <c r="B27" s="68" t="s">
        <v>893</v>
      </c>
      <c r="C27" s="68" t="s">
        <v>657</v>
      </c>
      <c r="D27" s="69" t="s">
        <v>771</v>
      </c>
    </row>
    <row r="28" spans="1:4" x14ac:dyDescent="0.3">
      <c r="A28" s="68" t="s">
        <v>1068</v>
      </c>
      <c r="B28" s="68" t="s">
        <v>893</v>
      </c>
      <c r="C28" s="68" t="s">
        <v>657</v>
      </c>
      <c r="D28" s="69" t="s">
        <v>770</v>
      </c>
    </row>
    <row r="29" spans="1:4" x14ac:dyDescent="0.3">
      <c r="A29" s="67" t="s">
        <v>894</v>
      </c>
      <c r="B29" s="68" t="s">
        <v>893</v>
      </c>
      <c r="C29" s="68" t="s">
        <v>657</v>
      </c>
      <c r="D29" s="69" t="s">
        <v>772</v>
      </c>
    </row>
    <row r="30" spans="1:4" x14ac:dyDescent="0.3">
      <c r="A30" s="68" t="s">
        <v>895</v>
      </c>
      <c r="B30" s="68" t="s">
        <v>896</v>
      </c>
      <c r="C30" s="68" t="s">
        <v>657</v>
      </c>
      <c r="D30" s="69" t="s">
        <v>770</v>
      </c>
    </row>
    <row r="31" spans="1:4" x14ac:dyDescent="0.3">
      <c r="A31" s="67" t="s">
        <v>898</v>
      </c>
      <c r="B31" s="68" t="s">
        <v>896</v>
      </c>
      <c r="C31" s="68" t="s">
        <v>657</v>
      </c>
      <c r="D31" s="69" t="s">
        <v>772</v>
      </c>
    </row>
    <row r="32" spans="1:4" x14ac:dyDescent="0.3">
      <c r="A32" s="68" t="s">
        <v>897</v>
      </c>
      <c r="B32" s="68" t="s">
        <v>896</v>
      </c>
      <c r="C32" s="68" t="s">
        <v>657</v>
      </c>
      <c r="D32" s="69" t="s">
        <v>771</v>
      </c>
    </row>
    <row r="33" spans="1:4" x14ac:dyDescent="0.3">
      <c r="A33" s="67" t="s">
        <v>1069</v>
      </c>
      <c r="B33" s="68" t="s">
        <v>1070</v>
      </c>
      <c r="C33" s="68" t="s">
        <v>651</v>
      </c>
      <c r="D33" s="69" t="s">
        <v>770</v>
      </c>
    </row>
    <row r="34" spans="1:4" x14ac:dyDescent="0.3">
      <c r="A34" s="68" t="s">
        <v>1040</v>
      </c>
      <c r="B34" s="68" t="s">
        <v>1070</v>
      </c>
      <c r="C34" s="68" t="s">
        <v>651</v>
      </c>
      <c r="D34" s="69" t="s">
        <v>772</v>
      </c>
    </row>
    <row r="35" spans="1:4" x14ac:dyDescent="0.3">
      <c r="A35" s="68" t="s">
        <v>1045</v>
      </c>
      <c r="B35" s="68" t="s">
        <v>1070</v>
      </c>
      <c r="C35" s="68" t="s">
        <v>651</v>
      </c>
      <c r="D35" s="69" t="s">
        <v>771</v>
      </c>
    </row>
    <row r="36" spans="1:4" x14ac:dyDescent="0.3">
      <c r="A36" s="67" t="s">
        <v>1071</v>
      </c>
      <c r="B36" s="68" t="s">
        <v>900</v>
      </c>
      <c r="C36" s="68" t="s">
        <v>657</v>
      </c>
      <c r="D36" s="69" t="s">
        <v>770</v>
      </c>
    </row>
    <row r="37" spans="1:4" x14ac:dyDescent="0.3">
      <c r="A37" s="68" t="s">
        <v>902</v>
      </c>
      <c r="B37" s="68" t="s">
        <v>900</v>
      </c>
      <c r="C37" s="68" t="s">
        <v>657</v>
      </c>
      <c r="D37" s="69" t="s">
        <v>772</v>
      </c>
    </row>
    <row r="38" spans="1:4" x14ac:dyDescent="0.3">
      <c r="A38" s="68" t="s">
        <v>901</v>
      </c>
      <c r="B38" s="68" t="s">
        <v>900</v>
      </c>
      <c r="C38" s="68" t="s">
        <v>657</v>
      </c>
      <c r="D38" s="69" t="s">
        <v>771</v>
      </c>
    </row>
    <row r="39" spans="1:4" x14ac:dyDescent="0.3">
      <c r="A39" s="67" t="s">
        <v>1072</v>
      </c>
      <c r="B39" s="68" t="s">
        <v>904</v>
      </c>
      <c r="C39" s="68" t="s">
        <v>657</v>
      </c>
      <c r="D39" s="69" t="s">
        <v>770</v>
      </c>
    </row>
    <row r="40" spans="1:4" x14ac:dyDescent="0.3">
      <c r="A40" s="68" t="s">
        <v>1073</v>
      </c>
      <c r="B40" s="68" t="s">
        <v>904</v>
      </c>
      <c r="C40" s="68" t="s">
        <v>657</v>
      </c>
      <c r="D40" s="69" t="s">
        <v>772</v>
      </c>
    </row>
    <row r="41" spans="1:4" x14ac:dyDescent="0.3">
      <c r="A41" s="68" t="s">
        <v>905</v>
      </c>
      <c r="B41" s="68" t="s">
        <v>904</v>
      </c>
      <c r="C41" s="68" t="s">
        <v>657</v>
      </c>
      <c r="D41" s="69" t="s">
        <v>771</v>
      </c>
    </row>
    <row r="42" spans="1:4" x14ac:dyDescent="0.3">
      <c r="A42" s="67" t="s">
        <v>767</v>
      </c>
      <c r="B42" s="68" t="s">
        <v>907</v>
      </c>
      <c r="C42" s="68" t="s">
        <v>657</v>
      </c>
      <c r="D42" s="69" t="s">
        <v>771</v>
      </c>
    </row>
    <row r="43" spans="1:4" x14ac:dyDescent="0.3">
      <c r="A43" s="68" t="s">
        <v>609</v>
      </c>
      <c r="B43" s="68" t="s">
        <v>907</v>
      </c>
      <c r="C43" s="68" t="s">
        <v>657</v>
      </c>
      <c r="D43" s="69" t="s">
        <v>772</v>
      </c>
    </row>
    <row r="44" spans="1:4" x14ac:dyDescent="0.3">
      <c r="A44" s="68" t="s">
        <v>1074</v>
      </c>
      <c r="B44" s="68" t="s">
        <v>907</v>
      </c>
      <c r="C44" s="68" t="s">
        <v>657</v>
      </c>
      <c r="D44" s="69" t="s">
        <v>770</v>
      </c>
    </row>
    <row r="45" spans="1:4" x14ac:dyDescent="0.3">
      <c r="A45" s="67" t="s">
        <v>750</v>
      </c>
      <c r="B45" s="68" t="s">
        <v>910</v>
      </c>
      <c r="C45" s="68" t="s">
        <v>657</v>
      </c>
      <c r="D45" s="69" t="s">
        <v>771</v>
      </c>
    </row>
    <row r="46" spans="1:4" x14ac:dyDescent="0.3">
      <c r="A46" s="68" t="s">
        <v>1075</v>
      </c>
      <c r="B46" s="68" t="s">
        <v>910</v>
      </c>
      <c r="C46" s="68" t="s">
        <v>657</v>
      </c>
      <c r="D46" s="69" t="s">
        <v>770</v>
      </c>
    </row>
    <row r="47" spans="1:4" x14ac:dyDescent="0.3">
      <c r="A47" s="68" t="s">
        <v>956</v>
      </c>
      <c r="B47" s="68" t="s">
        <v>910</v>
      </c>
      <c r="C47" s="68" t="s">
        <v>657</v>
      </c>
      <c r="D47" s="69" t="s">
        <v>772</v>
      </c>
    </row>
    <row r="48" spans="1:4" x14ac:dyDescent="0.3">
      <c r="A48" s="67" t="s">
        <v>912</v>
      </c>
      <c r="B48" s="68" t="s">
        <v>913</v>
      </c>
      <c r="C48" s="68" t="s">
        <v>657</v>
      </c>
      <c r="D48" s="69" t="s">
        <v>770</v>
      </c>
    </row>
    <row r="49" spans="1:4" x14ac:dyDescent="0.3">
      <c r="A49" s="68" t="s">
        <v>915</v>
      </c>
      <c r="B49" s="68" t="s">
        <v>913</v>
      </c>
      <c r="C49" s="68" t="s">
        <v>657</v>
      </c>
      <c r="D49" s="69" t="s">
        <v>772</v>
      </c>
    </row>
    <row r="50" spans="1:4" x14ac:dyDescent="0.3">
      <c r="A50" s="68" t="s">
        <v>914</v>
      </c>
      <c r="B50" s="68" t="s">
        <v>913</v>
      </c>
      <c r="C50" s="68" t="s">
        <v>657</v>
      </c>
      <c r="D50" s="69" t="s">
        <v>771</v>
      </c>
    </row>
    <row r="51" spans="1:4" x14ac:dyDescent="0.3">
      <c r="A51" s="67" t="s">
        <v>918</v>
      </c>
      <c r="B51" s="68" t="s">
        <v>917</v>
      </c>
      <c r="C51" s="68" t="s">
        <v>657</v>
      </c>
      <c r="D51" s="69" t="s">
        <v>771</v>
      </c>
    </row>
    <row r="52" spans="1:4" x14ac:dyDescent="0.3">
      <c r="A52" s="68" t="s">
        <v>1076</v>
      </c>
      <c r="B52" s="68" t="s">
        <v>917</v>
      </c>
      <c r="C52" s="68" t="s">
        <v>657</v>
      </c>
      <c r="D52" s="69" t="s">
        <v>770</v>
      </c>
    </row>
    <row r="53" spans="1:4" x14ac:dyDescent="0.3">
      <c r="A53" s="68" t="s">
        <v>919</v>
      </c>
      <c r="B53" s="68" t="s">
        <v>917</v>
      </c>
      <c r="C53" s="68" t="s">
        <v>657</v>
      </c>
      <c r="D53" s="69" t="s">
        <v>772</v>
      </c>
    </row>
    <row r="54" spans="1:4" x14ac:dyDescent="0.3">
      <c r="A54" s="67" t="s">
        <v>922</v>
      </c>
      <c r="B54" s="68" t="s">
        <v>921</v>
      </c>
      <c r="C54" s="68" t="s">
        <v>657</v>
      </c>
      <c r="D54" s="69" t="s">
        <v>771</v>
      </c>
    </row>
    <row r="55" spans="1:4" x14ac:dyDescent="0.3">
      <c r="A55" s="68" t="s">
        <v>218</v>
      </c>
      <c r="B55" s="68" t="s">
        <v>921</v>
      </c>
      <c r="C55" s="68" t="s">
        <v>657</v>
      </c>
      <c r="D55" s="69" t="s">
        <v>772</v>
      </c>
    </row>
    <row r="56" spans="1:4" x14ac:dyDescent="0.3">
      <c r="A56" s="68" t="s">
        <v>1077</v>
      </c>
      <c r="B56" s="68" t="s">
        <v>921</v>
      </c>
      <c r="C56" s="68" t="s">
        <v>657</v>
      </c>
      <c r="D56" s="69" t="s">
        <v>770</v>
      </c>
    </row>
    <row r="57" spans="1:4" x14ac:dyDescent="0.3">
      <c r="A57" s="68" t="s">
        <v>923</v>
      </c>
      <c r="B57" s="68" t="s">
        <v>924</v>
      </c>
      <c r="C57" s="68" t="s">
        <v>651</v>
      </c>
      <c r="D57" s="69" t="s">
        <v>771</v>
      </c>
    </row>
    <row r="58" spans="1:4" x14ac:dyDescent="0.3">
      <c r="A58" s="68" t="s">
        <v>927</v>
      </c>
      <c r="B58" s="68" t="s">
        <v>926</v>
      </c>
      <c r="C58" s="68" t="s">
        <v>657</v>
      </c>
      <c r="D58" s="69" t="s">
        <v>771</v>
      </c>
    </row>
    <row r="59" spans="1:4" x14ac:dyDescent="0.3">
      <c r="A59" s="67" t="s">
        <v>925</v>
      </c>
      <c r="B59" s="68" t="s">
        <v>926</v>
      </c>
      <c r="C59" s="68" t="s">
        <v>657</v>
      </c>
      <c r="D59" s="69" t="s">
        <v>770</v>
      </c>
    </row>
    <row r="60" spans="1:4" x14ac:dyDescent="0.3">
      <c r="A60" s="68" t="s">
        <v>928</v>
      </c>
      <c r="B60" s="68" t="s">
        <v>926</v>
      </c>
      <c r="C60" s="68" t="s">
        <v>657</v>
      </c>
      <c r="D60" s="69" t="s">
        <v>772</v>
      </c>
    </row>
    <row r="61" spans="1:4" x14ac:dyDescent="0.3">
      <c r="A61" s="68" t="s">
        <v>933</v>
      </c>
      <c r="B61" s="68" t="s">
        <v>934</v>
      </c>
      <c r="C61" s="68" t="s">
        <v>651</v>
      </c>
      <c r="D61" s="69" t="s">
        <v>771</v>
      </c>
    </row>
    <row r="62" spans="1:4" x14ac:dyDescent="0.3">
      <c r="A62" s="67" t="s">
        <v>1078</v>
      </c>
      <c r="B62" s="68" t="s">
        <v>1079</v>
      </c>
      <c r="C62" s="68" t="s">
        <v>657</v>
      </c>
      <c r="D62" s="69" t="s">
        <v>770</v>
      </c>
    </row>
    <row r="63" spans="1:4" x14ac:dyDescent="0.3">
      <c r="A63" s="68" t="s">
        <v>932</v>
      </c>
      <c r="B63" s="68" t="s">
        <v>1079</v>
      </c>
      <c r="C63" s="68" t="s">
        <v>657</v>
      </c>
      <c r="D63" s="69" t="s">
        <v>772</v>
      </c>
    </row>
    <row r="64" spans="1:4" x14ac:dyDescent="0.3">
      <c r="A64" s="68" t="s">
        <v>931</v>
      </c>
      <c r="B64" s="68" t="s">
        <v>1079</v>
      </c>
      <c r="C64" s="68" t="s">
        <v>657</v>
      </c>
      <c r="D64" s="69" t="s">
        <v>771</v>
      </c>
    </row>
    <row r="65" spans="1:4" x14ac:dyDescent="0.3">
      <c r="A65" s="67" t="s">
        <v>935</v>
      </c>
      <c r="B65" s="68" t="s">
        <v>936</v>
      </c>
      <c r="C65" s="68" t="s">
        <v>657</v>
      </c>
      <c r="D65" s="69" t="s">
        <v>770</v>
      </c>
    </row>
    <row r="66" spans="1:4" x14ac:dyDescent="0.3">
      <c r="A66" s="68" t="s">
        <v>937</v>
      </c>
      <c r="B66" s="68" t="s">
        <v>936</v>
      </c>
      <c r="C66" s="68" t="s">
        <v>657</v>
      </c>
      <c r="D66" s="69" t="s">
        <v>772</v>
      </c>
    </row>
    <row r="67" spans="1:4" x14ac:dyDescent="0.3">
      <c r="A67" s="68" t="s">
        <v>1080</v>
      </c>
      <c r="B67" s="68" t="s">
        <v>936</v>
      </c>
      <c r="C67" s="68" t="s">
        <v>657</v>
      </c>
      <c r="D67" s="69" t="s">
        <v>771</v>
      </c>
    </row>
    <row r="68" spans="1:4" x14ac:dyDescent="0.3">
      <c r="A68" s="67" t="s">
        <v>1081</v>
      </c>
      <c r="B68" s="68" t="s">
        <v>939</v>
      </c>
      <c r="C68" s="68" t="s">
        <v>657</v>
      </c>
      <c r="D68" s="69" t="s">
        <v>770</v>
      </c>
    </row>
    <row r="69" spans="1:4" x14ac:dyDescent="0.3">
      <c r="A69" s="68" t="s">
        <v>940</v>
      </c>
      <c r="B69" s="68" t="s">
        <v>939</v>
      </c>
      <c r="C69" s="68" t="s">
        <v>657</v>
      </c>
      <c r="D69" s="69" t="s">
        <v>772</v>
      </c>
    </row>
    <row r="70" spans="1:4" x14ac:dyDescent="0.3">
      <c r="A70" s="68" t="s">
        <v>1082</v>
      </c>
      <c r="B70" s="68" t="s">
        <v>939</v>
      </c>
      <c r="C70" s="68" t="s">
        <v>657</v>
      </c>
      <c r="D70" s="69" t="s">
        <v>771</v>
      </c>
    </row>
    <row r="71" spans="1:4" x14ac:dyDescent="0.3">
      <c r="A71" s="67" t="s">
        <v>941</v>
      </c>
      <c r="B71" s="68" t="s">
        <v>942</v>
      </c>
      <c r="C71" s="68" t="s">
        <v>657</v>
      </c>
      <c r="D71" s="69" t="s">
        <v>770</v>
      </c>
    </row>
    <row r="72" spans="1:4" x14ac:dyDescent="0.3">
      <c r="A72" s="68" t="s">
        <v>944</v>
      </c>
      <c r="B72" s="68" t="s">
        <v>942</v>
      </c>
      <c r="C72" s="68" t="s">
        <v>657</v>
      </c>
      <c r="D72" s="69" t="s">
        <v>772</v>
      </c>
    </row>
    <row r="73" spans="1:4" x14ac:dyDescent="0.3">
      <c r="A73" s="68" t="s">
        <v>943</v>
      </c>
      <c r="B73" s="68" t="s">
        <v>942</v>
      </c>
      <c r="C73" s="68" t="s">
        <v>657</v>
      </c>
      <c r="D73" s="69" t="s">
        <v>771</v>
      </c>
    </row>
    <row r="74" spans="1:4" x14ac:dyDescent="0.3">
      <c r="A74" s="67" t="s">
        <v>947</v>
      </c>
      <c r="B74" s="68" t="s">
        <v>946</v>
      </c>
      <c r="C74" s="68" t="s">
        <v>657</v>
      </c>
      <c r="D74" s="69" t="s">
        <v>771</v>
      </c>
    </row>
    <row r="75" spans="1:4" x14ac:dyDescent="0.3">
      <c r="A75" s="68" t="s">
        <v>945</v>
      </c>
      <c r="B75" s="68" t="s">
        <v>946</v>
      </c>
      <c r="C75" s="68" t="s">
        <v>657</v>
      </c>
      <c r="D75" s="69" t="s">
        <v>770</v>
      </c>
    </row>
    <row r="76" spans="1:4" x14ac:dyDescent="0.3">
      <c r="A76" s="68" t="s">
        <v>1083</v>
      </c>
      <c r="B76" s="68" t="s">
        <v>946</v>
      </c>
      <c r="C76" s="68" t="s">
        <v>657</v>
      </c>
      <c r="D76" s="69" t="s">
        <v>772</v>
      </c>
    </row>
    <row r="77" spans="1:4" x14ac:dyDescent="0.3">
      <c r="A77" s="67" t="s">
        <v>951</v>
      </c>
      <c r="B77" s="68" t="s">
        <v>950</v>
      </c>
      <c r="C77" s="68" t="s">
        <v>657</v>
      </c>
      <c r="D77" s="69" t="s">
        <v>771</v>
      </c>
    </row>
    <row r="78" spans="1:4" x14ac:dyDescent="0.3">
      <c r="A78" s="68" t="s">
        <v>1084</v>
      </c>
      <c r="B78" s="68" t="s">
        <v>950</v>
      </c>
      <c r="C78" s="68" t="s">
        <v>657</v>
      </c>
      <c r="D78" s="69" t="s">
        <v>770</v>
      </c>
    </row>
    <row r="79" spans="1:4" x14ac:dyDescent="0.3">
      <c r="A79" s="68" t="s">
        <v>952</v>
      </c>
      <c r="B79" s="68" t="s">
        <v>950</v>
      </c>
      <c r="C79" s="68" t="s">
        <v>657</v>
      </c>
      <c r="D79" s="69" t="s">
        <v>772</v>
      </c>
    </row>
    <row r="80" spans="1:4" x14ac:dyDescent="0.3">
      <c r="A80" s="68" t="s">
        <v>1085</v>
      </c>
      <c r="B80" s="68" t="s">
        <v>954</v>
      </c>
      <c r="C80" s="68" t="s">
        <v>657</v>
      </c>
      <c r="D80" s="69" t="s">
        <v>770</v>
      </c>
    </row>
    <row r="81" spans="1:4" x14ac:dyDescent="0.3">
      <c r="A81" s="68" t="s">
        <v>1025</v>
      </c>
      <c r="B81" s="68" t="s">
        <v>954</v>
      </c>
      <c r="C81" s="68" t="s">
        <v>657</v>
      </c>
      <c r="D81" s="69" t="s">
        <v>772</v>
      </c>
    </row>
    <row r="82" spans="1:4" x14ac:dyDescent="0.3">
      <c r="A82" s="67" t="s">
        <v>955</v>
      </c>
      <c r="B82" s="68" t="s">
        <v>954</v>
      </c>
      <c r="C82" s="68" t="s">
        <v>657</v>
      </c>
      <c r="D82" s="69" t="s">
        <v>771</v>
      </c>
    </row>
    <row r="83" spans="1:4" x14ac:dyDescent="0.3">
      <c r="A83" s="68" t="s">
        <v>1086</v>
      </c>
      <c r="B83" s="68" t="s">
        <v>1087</v>
      </c>
      <c r="C83" s="68" t="s">
        <v>651</v>
      </c>
      <c r="D83" s="69" t="s">
        <v>772</v>
      </c>
    </row>
    <row r="84" spans="1:4" x14ac:dyDescent="0.3">
      <c r="A84" s="68" t="s">
        <v>1088</v>
      </c>
      <c r="B84" s="68" t="s">
        <v>1089</v>
      </c>
      <c r="C84" s="68" t="s">
        <v>651</v>
      </c>
      <c r="D84" s="69" t="s">
        <v>772</v>
      </c>
    </row>
    <row r="85" spans="1:4" x14ac:dyDescent="0.3">
      <c r="A85" s="67" t="s">
        <v>1059</v>
      </c>
      <c r="B85" s="68" t="s">
        <v>1090</v>
      </c>
      <c r="C85" s="68" t="s">
        <v>657</v>
      </c>
      <c r="D85" s="69" t="s">
        <v>770</v>
      </c>
    </row>
    <row r="86" spans="1:4" x14ac:dyDescent="0.3">
      <c r="A86" s="68" t="s">
        <v>873</v>
      </c>
      <c r="B86" s="68" t="s">
        <v>1090</v>
      </c>
      <c r="C86" s="68" t="s">
        <v>657</v>
      </c>
      <c r="D86" s="69" t="s">
        <v>772</v>
      </c>
    </row>
    <row r="87" spans="1:4" x14ac:dyDescent="0.3">
      <c r="A87" s="68" t="s">
        <v>1091</v>
      </c>
      <c r="B87" s="68" t="s">
        <v>1090</v>
      </c>
      <c r="C87" s="68" t="s">
        <v>657</v>
      </c>
      <c r="D87" s="69" t="s">
        <v>771</v>
      </c>
    </row>
    <row r="88" spans="1:4" x14ac:dyDescent="0.3">
      <c r="A88" s="67" t="s">
        <v>877</v>
      </c>
      <c r="B88" s="68" t="s">
        <v>1092</v>
      </c>
      <c r="C88" s="68" t="s">
        <v>657</v>
      </c>
      <c r="D88" s="69" t="s">
        <v>770</v>
      </c>
    </row>
    <row r="89" spans="1:4" x14ac:dyDescent="0.3">
      <c r="A89" s="68" t="s">
        <v>1093</v>
      </c>
      <c r="B89" s="68" t="s">
        <v>1092</v>
      </c>
      <c r="C89" s="68" t="s">
        <v>657</v>
      </c>
      <c r="D89" s="69" t="s">
        <v>772</v>
      </c>
    </row>
    <row r="90" spans="1:4" x14ac:dyDescent="0.3">
      <c r="A90" s="67" t="s">
        <v>1094</v>
      </c>
      <c r="B90" s="68" t="s">
        <v>1092</v>
      </c>
      <c r="C90" s="68" t="s">
        <v>657</v>
      </c>
      <c r="D90" s="69" t="s">
        <v>771</v>
      </c>
    </row>
    <row r="91" spans="1:4" x14ac:dyDescent="0.3">
      <c r="A91" s="68" t="s">
        <v>957</v>
      </c>
      <c r="B91" s="68" t="s">
        <v>958</v>
      </c>
      <c r="C91" s="68" t="s">
        <v>651</v>
      </c>
      <c r="D91" s="69" t="s">
        <v>770</v>
      </c>
    </row>
    <row r="92" spans="1:4" x14ac:dyDescent="0.3">
      <c r="A92" s="68" t="s">
        <v>959</v>
      </c>
      <c r="B92" s="68" t="s">
        <v>958</v>
      </c>
      <c r="C92" s="68" t="s">
        <v>651</v>
      </c>
      <c r="D92" s="69" t="s">
        <v>771</v>
      </c>
    </row>
    <row r="93" spans="1:4" x14ac:dyDescent="0.3">
      <c r="A93" s="67" t="s">
        <v>962</v>
      </c>
      <c r="B93" s="68" t="s">
        <v>1095</v>
      </c>
      <c r="C93" s="68" t="s">
        <v>657</v>
      </c>
      <c r="D93" s="69" t="s">
        <v>771</v>
      </c>
    </row>
    <row r="94" spans="1:4" x14ac:dyDescent="0.3">
      <c r="A94" s="68" t="s">
        <v>960</v>
      </c>
      <c r="B94" s="68" t="s">
        <v>1095</v>
      </c>
      <c r="C94" s="68" t="s">
        <v>657</v>
      </c>
      <c r="D94" s="69" t="s">
        <v>770</v>
      </c>
    </row>
    <row r="95" spans="1:4" x14ac:dyDescent="0.3">
      <c r="A95" s="68" t="s">
        <v>963</v>
      </c>
      <c r="B95" s="68" t="s">
        <v>1095</v>
      </c>
      <c r="C95" s="68" t="s">
        <v>657</v>
      </c>
      <c r="D95" s="69" t="s">
        <v>772</v>
      </c>
    </row>
    <row r="96" spans="1:4" x14ac:dyDescent="0.3">
      <c r="A96" s="67" t="s">
        <v>967</v>
      </c>
      <c r="B96" s="68" t="s">
        <v>1096</v>
      </c>
      <c r="C96" s="68" t="s">
        <v>657</v>
      </c>
      <c r="D96" s="69" t="s">
        <v>772</v>
      </c>
    </row>
    <row r="97" spans="1:4" x14ac:dyDescent="0.3">
      <c r="A97" s="68" t="s">
        <v>964</v>
      </c>
      <c r="B97" s="68" t="s">
        <v>1096</v>
      </c>
      <c r="C97" s="68" t="s">
        <v>657</v>
      </c>
      <c r="D97" s="69" t="s">
        <v>770</v>
      </c>
    </row>
    <row r="98" spans="1:4" x14ac:dyDescent="0.3">
      <c r="A98" s="68" t="s">
        <v>966</v>
      </c>
      <c r="B98" s="68" t="s">
        <v>1096</v>
      </c>
      <c r="C98" s="68" t="s">
        <v>657</v>
      </c>
      <c r="D98" s="69" t="s">
        <v>771</v>
      </c>
    </row>
    <row r="99" spans="1:4" x14ac:dyDescent="0.3">
      <c r="A99" s="67" t="s">
        <v>759</v>
      </c>
      <c r="B99" s="68" t="s">
        <v>969</v>
      </c>
      <c r="C99" s="68" t="s">
        <v>657</v>
      </c>
      <c r="D99" s="69" t="s">
        <v>771</v>
      </c>
    </row>
    <row r="100" spans="1:4" x14ac:dyDescent="0.3">
      <c r="A100" s="68" t="s">
        <v>1097</v>
      </c>
      <c r="B100" s="68" t="s">
        <v>969</v>
      </c>
      <c r="C100" s="68" t="s">
        <v>657</v>
      </c>
      <c r="D100" s="69" t="s">
        <v>770</v>
      </c>
    </row>
    <row r="101" spans="1:4" x14ac:dyDescent="0.3">
      <c r="A101" s="68" t="s">
        <v>970</v>
      </c>
      <c r="B101" s="68" t="s">
        <v>969</v>
      </c>
      <c r="C101" s="68" t="s">
        <v>657</v>
      </c>
      <c r="D101" s="69" t="s">
        <v>772</v>
      </c>
    </row>
    <row r="102" spans="1:4" x14ac:dyDescent="0.3">
      <c r="A102" s="68" t="s">
        <v>973</v>
      </c>
      <c r="B102" s="68" t="s">
        <v>972</v>
      </c>
      <c r="C102" s="68" t="s">
        <v>657</v>
      </c>
      <c r="D102" s="69" t="s">
        <v>771</v>
      </c>
    </row>
    <row r="103" spans="1:4" x14ac:dyDescent="0.3">
      <c r="A103" s="67" t="s">
        <v>971</v>
      </c>
      <c r="B103" s="68" t="s">
        <v>972</v>
      </c>
      <c r="C103" s="68" t="s">
        <v>657</v>
      </c>
      <c r="D103" s="69" t="s">
        <v>770</v>
      </c>
    </row>
    <row r="104" spans="1:4" x14ac:dyDescent="0.3">
      <c r="A104" s="68" t="s">
        <v>974</v>
      </c>
      <c r="B104" s="68" t="s">
        <v>972</v>
      </c>
      <c r="C104" s="68" t="s">
        <v>657</v>
      </c>
      <c r="D104" s="69" t="s">
        <v>772</v>
      </c>
    </row>
    <row r="105" spans="1:4" x14ac:dyDescent="0.3">
      <c r="A105" s="68" t="s">
        <v>979</v>
      </c>
      <c r="B105" s="68" t="s">
        <v>1098</v>
      </c>
      <c r="C105" s="68" t="s">
        <v>657</v>
      </c>
      <c r="D105" s="69" t="s">
        <v>770</v>
      </c>
    </row>
    <row r="106" spans="1:4" x14ac:dyDescent="0.3">
      <c r="A106" s="67" t="s">
        <v>982</v>
      </c>
      <c r="B106" s="68" t="s">
        <v>1098</v>
      </c>
      <c r="C106" s="68" t="s">
        <v>657</v>
      </c>
      <c r="D106" s="69" t="s">
        <v>772</v>
      </c>
    </row>
    <row r="107" spans="1:4" x14ac:dyDescent="0.3">
      <c r="A107" s="68" t="s">
        <v>756</v>
      </c>
      <c r="B107" s="68" t="s">
        <v>1098</v>
      </c>
      <c r="C107" s="68" t="s">
        <v>657</v>
      </c>
      <c r="D107" s="69" t="s">
        <v>771</v>
      </c>
    </row>
    <row r="108" spans="1:4" x14ac:dyDescent="0.3">
      <c r="A108" s="67" t="s">
        <v>757</v>
      </c>
      <c r="B108" s="68" t="s">
        <v>1099</v>
      </c>
      <c r="C108" s="68" t="s">
        <v>657</v>
      </c>
      <c r="D108" s="69" t="s">
        <v>771</v>
      </c>
    </row>
    <row r="109" spans="1:4" x14ac:dyDescent="0.3">
      <c r="A109" s="68" t="s">
        <v>983</v>
      </c>
      <c r="B109" s="68" t="s">
        <v>1099</v>
      </c>
      <c r="C109" s="68" t="s">
        <v>657</v>
      </c>
      <c r="D109" s="69" t="s">
        <v>770</v>
      </c>
    </row>
    <row r="110" spans="1:4" x14ac:dyDescent="0.3">
      <c r="A110" s="68" t="s">
        <v>985</v>
      </c>
      <c r="B110" s="68" t="s">
        <v>1099</v>
      </c>
      <c r="C110" s="68" t="s">
        <v>657</v>
      </c>
      <c r="D110" s="69" t="s">
        <v>772</v>
      </c>
    </row>
    <row r="111" spans="1:4" x14ac:dyDescent="0.3">
      <c r="A111" s="67" t="s">
        <v>986</v>
      </c>
      <c r="B111" s="68" t="s">
        <v>1100</v>
      </c>
      <c r="C111" s="68" t="s">
        <v>657</v>
      </c>
      <c r="D111" s="69" t="s">
        <v>770</v>
      </c>
    </row>
    <row r="112" spans="1:4" x14ac:dyDescent="0.3">
      <c r="A112" s="68" t="s">
        <v>988</v>
      </c>
      <c r="B112" s="68" t="s">
        <v>1100</v>
      </c>
      <c r="C112" s="68" t="s">
        <v>657</v>
      </c>
      <c r="D112" s="69" t="s">
        <v>772</v>
      </c>
    </row>
    <row r="113" spans="1:4" x14ac:dyDescent="0.3">
      <c r="A113" s="68" t="s">
        <v>766</v>
      </c>
      <c r="B113" s="68" t="s">
        <v>1100</v>
      </c>
      <c r="C113" s="68" t="s">
        <v>657</v>
      </c>
      <c r="D113" s="69" t="s">
        <v>771</v>
      </c>
    </row>
    <row r="114" spans="1:4" x14ac:dyDescent="0.3">
      <c r="A114" s="68" t="s">
        <v>991</v>
      </c>
      <c r="B114" s="68" t="s">
        <v>1101</v>
      </c>
      <c r="C114" s="68" t="s">
        <v>657</v>
      </c>
      <c r="D114" s="69" t="s">
        <v>771</v>
      </c>
    </row>
    <row r="115" spans="1:4" x14ac:dyDescent="0.3">
      <c r="A115" s="67" t="s">
        <v>989</v>
      </c>
      <c r="B115" s="68" t="s">
        <v>1101</v>
      </c>
      <c r="C115" s="68" t="s">
        <v>657</v>
      </c>
      <c r="D115" s="69" t="s">
        <v>770</v>
      </c>
    </row>
    <row r="116" spans="1:4" x14ac:dyDescent="0.3">
      <c r="A116" s="68" t="s">
        <v>992</v>
      </c>
      <c r="B116" s="68" t="s">
        <v>1101</v>
      </c>
      <c r="C116" s="68" t="s">
        <v>657</v>
      </c>
      <c r="D116" s="69" t="s">
        <v>772</v>
      </c>
    </row>
    <row r="117" spans="1:4" x14ac:dyDescent="0.3">
      <c r="A117" s="68" t="s">
        <v>995</v>
      </c>
      <c r="B117" s="68" t="s">
        <v>1102</v>
      </c>
      <c r="C117" s="68" t="s">
        <v>657</v>
      </c>
      <c r="D117" s="69" t="s">
        <v>771</v>
      </c>
    </row>
    <row r="118" spans="1:4" x14ac:dyDescent="0.3">
      <c r="A118" s="68" t="s">
        <v>1103</v>
      </c>
      <c r="B118" s="68" t="s">
        <v>1102</v>
      </c>
      <c r="C118" s="68" t="s">
        <v>657</v>
      </c>
      <c r="D118" s="69" t="s">
        <v>770</v>
      </c>
    </row>
    <row r="119" spans="1:4" x14ac:dyDescent="0.3">
      <c r="A119" s="67" t="s">
        <v>911</v>
      </c>
      <c r="B119" s="68" t="s">
        <v>1102</v>
      </c>
      <c r="C119" s="68" t="s">
        <v>657</v>
      </c>
      <c r="D119" s="69" t="s">
        <v>772</v>
      </c>
    </row>
    <row r="120" spans="1:4" x14ac:dyDescent="0.3">
      <c r="A120" s="68" t="s">
        <v>999</v>
      </c>
      <c r="B120" s="68" t="s">
        <v>1104</v>
      </c>
      <c r="C120" s="68" t="s">
        <v>657</v>
      </c>
      <c r="D120" s="69" t="s">
        <v>771</v>
      </c>
    </row>
    <row r="121" spans="1:4" x14ac:dyDescent="0.3">
      <c r="A121" s="70" t="s">
        <v>997</v>
      </c>
      <c r="B121" s="68" t="s">
        <v>1104</v>
      </c>
      <c r="C121" s="68" t="s">
        <v>657</v>
      </c>
      <c r="D121" s="69" t="s">
        <v>770</v>
      </c>
    </row>
    <row r="122" spans="1:4" x14ac:dyDescent="0.3">
      <c r="A122" s="70" t="s">
        <v>1000</v>
      </c>
      <c r="B122" s="68" t="s">
        <v>1104</v>
      </c>
      <c r="C122" s="68" t="s">
        <v>657</v>
      </c>
      <c r="D122" s="69" t="s">
        <v>772</v>
      </c>
    </row>
    <row r="123" spans="1:4" x14ac:dyDescent="0.3">
      <c r="A123" s="70" t="s">
        <v>593</v>
      </c>
      <c r="B123" s="68" t="s">
        <v>1002</v>
      </c>
      <c r="C123" s="68" t="s">
        <v>652</v>
      </c>
      <c r="D123" s="69" t="s">
        <v>770</v>
      </c>
    </row>
    <row r="124" spans="1:4" x14ac:dyDescent="0.3">
      <c r="A124" s="68" t="s">
        <v>1105</v>
      </c>
      <c r="B124" s="68" t="s">
        <v>1004</v>
      </c>
      <c r="C124" s="68" t="s">
        <v>652</v>
      </c>
      <c r="D124" s="69" t="s">
        <v>770</v>
      </c>
    </row>
    <row r="125" spans="1:4" x14ac:dyDescent="0.3">
      <c r="A125" s="68" t="s">
        <v>1007</v>
      </c>
      <c r="B125" s="68" t="s">
        <v>1004</v>
      </c>
      <c r="C125" s="68" t="s">
        <v>652</v>
      </c>
      <c r="D125" s="69" t="s">
        <v>770</v>
      </c>
    </row>
    <row r="126" spans="1:4" x14ac:dyDescent="0.3">
      <c r="A126" s="67" t="s">
        <v>1005</v>
      </c>
      <c r="B126" s="68" t="s">
        <v>1004</v>
      </c>
      <c r="C126" s="68" t="s">
        <v>652</v>
      </c>
      <c r="D126" s="69" t="s">
        <v>770</v>
      </c>
    </row>
    <row r="127" spans="1:4" x14ac:dyDescent="0.3">
      <c r="A127" s="68" t="s">
        <v>754</v>
      </c>
      <c r="B127" s="68" t="s">
        <v>1004</v>
      </c>
      <c r="C127" s="68" t="s">
        <v>652</v>
      </c>
      <c r="D127" s="69" t="s">
        <v>771</v>
      </c>
    </row>
    <row r="128" spans="1:4" x14ac:dyDescent="0.3">
      <c r="A128" s="70" t="s">
        <v>1106</v>
      </c>
      <c r="B128" s="68" t="s">
        <v>1004</v>
      </c>
      <c r="C128" s="68" t="s">
        <v>652</v>
      </c>
      <c r="D128" s="69" t="s">
        <v>771</v>
      </c>
    </row>
    <row r="129" spans="1:4" x14ac:dyDescent="0.3">
      <c r="A129" s="70" t="s">
        <v>1010</v>
      </c>
      <c r="B129" s="68" t="s">
        <v>1107</v>
      </c>
      <c r="C129" s="68" t="s">
        <v>652</v>
      </c>
      <c r="D129" s="69" t="s">
        <v>771</v>
      </c>
    </row>
    <row r="130" spans="1:4" x14ac:dyDescent="0.3">
      <c r="A130" s="68" t="s">
        <v>1008</v>
      </c>
      <c r="B130" s="68" t="s">
        <v>1107</v>
      </c>
      <c r="C130" s="68" t="s">
        <v>652</v>
      </c>
      <c r="D130" s="69" t="s">
        <v>770</v>
      </c>
    </row>
    <row r="131" spans="1:4" x14ac:dyDescent="0.3">
      <c r="A131" s="67" t="s">
        <v>765</v>
      </c>
      <c r="B131" s="68" t="s">
        <v>1108</v>
      </c>
      <c r="C131" s="68" t="s">
        <v>652</v>
      </c>
      <c r="D131" s="69" t="s">
        <v>771</v>
      </c>
    </row>
    <row r="132" spans="1:4" x14ac:dyDescent="0.3">
      <c r="A132" s="68" t="s">
        <v>1109</v>
      </c>
      <c r="B132" s="68" t="s">
        <v>1108</v>
      </c>
      <c r="C132" s="68" t="s">
        <v>652</v>
      </c>
      <c r="D132" s="69" t="s">
        <v>770</v>
      </c>
    </row>
    <row r="133" spans="1:4" x14ac:dyDescent="0.3">
      <c r="A133" s="67" t="s">
        <v>1012</v>
      </c>
      <c r="B133" s="68" t="s">
        <v>1013</v>
      </c>
      <c r="C133" s="68" t="s">
        <v>652</v>
      </c>
      <c r="D133" s="69" t="s">
        <v>770</v>
      </c>
    </row>
    <row r="134" spans="1:4" x14ac:dyDescent="0.3">
      <c r="A134" s="68" t="s">
        <v>1014</v>
      </c>
      <c r="B134" s="68" t="s">
        <v>1013</v>
      </c>
      <c r="C134" s="68" t="s">
        <v>652</v>
      </c>
      <c r="D134" s="69" t="s">
        <v>771</v>
      </c>
    </row>
    <row r="135" spans="1:4" x14ac:dyDescent="0.3">
      <c r="A135" s="68" t="s">
        <v>760</v>
      </c>
      <c r="B135" s="68" t="s">
        <v>1110</v>
      </c>
      <c r="C135" s="68" t="s">
        <v>652</v>
      </c>
      <c r="D135" s="69" t="s">
        <v>771</v>
      </c>
    </row>
    <row r="136" spans="1:4" x14ac:dyDescent="0.3">
      <c r="A136" s="70" t="s">
        <v>1003</v>
      </c>
      <c r="B136" s="68" t="s">
        <v>1110</v>
      </c>
      <c r="C136" s="68" t="s">
        <v>652</v>
      </c>
      <c r="D136" s="69" t="s">
        <v>770</v>
      </c>
    </row>
    <row r="137" spans="1:4" x14ac:dyDescent="0.3">
      <c r="A137" s="68" t="s">
        <v>1018</v>
      </c>
      <c r="B137" s="68" t="s">
        <v>1111</v>
      </c>
      <c r="C137" s="68" t="s">
        <v>652</v>
      </c>
      <c r="D137" s="69" t="s">
        <v>771</v>
      </c>
    </row>
    <row r="138" spans="1:4" x14ac:dyDescent="0.3">
      <c r="A138" s="68" t="s">
        <v>1016</v>
      </c>
      <c r="B138" s="68" t="s">
        <v>1111</v>
      </c>
      <c r="C138" s="68" t="s">
        <v>652</v>
      </c>
      <c r="D138" s="69" t="s">
        <v>770</v>
      </c>
    </row>
    <row r="139" spans="1:4" x14ac:dyDescent="0.3">
      <c r="A139" s="70" t="s">
        <v>761</v>
      </c>
      <c r="B139" s="68" t="s">
        <v>1112</v>
      </c>
      <c r="C139" s="68" t="s">
        <v>652</v>
      </c>
      <c r="D139" s="69" t="s">
        <v>771</v>
      </c>
    </row>
    <row r="140" spans="1:4" x14ac:dyDescent="0.3">
      <c r="A140" s="70" t="s">
        <v>1020</v>
      </c>
      <c r="B140" s="68" t="s">
        <v>1112</v>
      </c>
      <c r="C140" s="68" t="s">
        <v>652</v>
      </c>
      <c r="D140" s="69" t="s">
        <v>770</v>
      </c>
    </row>
    <row r="141" spans="1:4" x14ac:dyDescent="0.3">
      <c r="A141" s="68" t="s">
        <v>996</v>
      </c>
      <c r="B141" s="68" t="s">
        <v>1113</v>
      </c>
      <c r="C141" s="68" t="s">
        <v>657</v>
      </c>
      <c r="D141" s="69" t="s">
        <v>772</v>
      </c>
    </row>
    <row r="142" spans="1:4" x14ac:dyDescent="0.3">
      <c r="A142" s="67" t="s">
        <v>1024</v>
      </c>
      <c r="B142" s="68" t="s">
        <v>1113</v>
      </c>
      <c r="C142" s="68" t="s">
        <v>657</v>
      </c>
      <c r="D142" s="69" t="s">
        <v>771</v>
      </c>
    </row>
    <row r="143" spans="1:4" x14ac:dyDescent="0.3">
      <c r="A143" s="68" t="s">
        <v>1114</v>
      </c>
      <c r="B143" s="68" t="s">
        <v>1113</v>
      </c>
      <c r="C143" s="68" t="s">
        <v>657</v>
      </c>
      <c r="D143" s="69" t="s">
        <v>770</v>
      </c>
    </row>
    <row r="144" spans="1:4" x14ac:dyDescent="0.3">
      <c r="A144" s="67" t="s">
        <v>1006</v>
      </c>
      <c r="B144" s="68" t="s">
        <v>1115</v>
      </c>
      <c r="C144" s="68" t="s">
        <v>652</v>
      </c>
      <c r="D144" s="69" t="s">
        <v>771</v>
      </c>
    </row>
    <row r="145" spans="1:4" x14ac:dyDescent="0.3">
      <c r="A145" s="68" t="s">
        <v>1001</v>
      </c>
      <c r="B145" s="68" t="s">
        <v>1115</v>
      </c>
      <c r="C145" s="68" t="s">
        <v>652</v>
      </c>
      <c r="D145" s="69" t="s">
        <v>770</v>
      </c>
    </row>
    <row r="146" spans="1:4" x14ac:dyDescent="0.3">
      <c r="A146" s="71" t="s">
        <v>1026</v>
      </c>
      <c r="B146" s="68" t="s">
        <v>1027</v>
      </c>
      <c r="C146" s="68" t="s">
        <v>652</v>
      </c>
      <c r="D146" s="69" t="s">
        <v>770</v>
      </c>
    </row>
    <row r="147" spans="1:4" x14ac:dyDescent="0.3">
      <c r="A147" s="68" t="s">
        <v>1030</v>
      </c>
      <c r="B147" s="68" t="s">
        <v>1029</v>
      </c>
      <c r="C147" s="68" t="s">
        <v>652</v>
      </c>
      <c r="D147" s="69" t="s">
        <v>771</v>
      </c>
    </row>
    <row r="148" spans="1:4" x14ac:dyDescent="0.3">
      <c r="A148" s="68" t="s">
        <v>1028</v>
      </c>
      <c r="B148" s="68" t="s">
        <v>1029</v>
      </c>
      <c r="C148" s="68" t="s">
        <v>652</v>
      </c>
      <c r="D148" s="69" t="s">
        <v>770</v>
      </c>
    </row>
    <row r="149" spans="1:4" x14ac:dyDescent="0.3">
      <c r="A149" s="67" t="s">
        <v>753</v>
      </c>
      <c r="B149" s="68" t="s">
        <v>1032</v>
      </c>
      <c r="C149" s="68" t="s">
        <v>652</v>
      </c>
      <c r="D149" s="69" t="s">
        <v>771</v>
      </c>
    </row>
    <row r="150" spans="1:4" x14ac:dyDescent="0.3">
      <c r="A150" s="68" t="s">
        <v>1031</v>
      </c>
      <c r="B150" s="68" t="s">
        <v>1032</v>
      </c>
      <c r="C150" s="68" t="s">
        <v>652</v>
      </c>
      <c r="D150" s="69" t="s">
        <v>770</v>
      </c>
    </row>
    <row r="151" spans="1:4" x14ac:dyDescent="0.3">
      <c r="A151" s="68" t="s">
        <v>1033</v>
      </c>
      <c r="B151" s="68" t="s">
        <v>491</v>
      </c>
      <c r="C151" s="68" t="s">
        <v>657</v>
      </c>
      <c r="D151" s="69" t="s">
        <v>770</v>
      </c>
    </row>
    <row r="152" spans="1:4" x14ac:dyDescent="0.3">
      <c r="A152" s="67" t="s">
        <v>1035</v>
      </c>
      <c r="B152" s="68" t="s">
        <v>491</v>
      </c>
      <c r="C152" s="68" t="s">
        <v>657</v>
      </c>
      <c r="D152" s="69" t="s">
        <v>772</v>
      </c>
    </row>
    <row r="153" spans="1:4" x14ac:dyDescent="0.3">
      <c r="A153" s="68" t="s">
        <v>1034</v>
      </c>
      <c r="B153" s="68" t="s">
        <v>491</v>
      </c>
      <c r="C153" s="68" t="s">
        <v>657</v>
      </c>
      <c r="D153" s="69" t="s">
        <v>771</v>
      </c>
    </row>
    <row r="154" spans="1:4" x14ac:dyDescent="0.3">
      <c r="A154" s="67" t="s">
        <v>1038</v>
      </c>
      <c r="B154" s="68" t="s">
        <v>1037</v>
      </c>
      <c r="C154" s="68" t="s">
        <v>657</v>
      </c>
      <c r="D154" s="69" t="s">
        <v>771</v>
      </c>
    </row>
    <row r="155" spans="1:4" x14ac:dyDescent="0.3">
      <c r="A155" s="68" t="s">
        <v>1036</v>
      </c>
      <c r="B155" s="68" t="s">
        <v>1037</v>
      </c>
      <c r="C155" s="68" t="s">
        <v>657</v>
      </c>
      <c r="D155" s="69" t="s">
        <v>770</v>
      </c>
    </row>
    <row r="156" spans="1:4" x14ac:dyDescent="0.3">
      <c r="A156" s="70" t="s">
        <v>948</v>
      </c>
      <c r="B156" s="68" t="s">
        <v>1037</v>
      </c>
      <c r="C156" s="68" t="s">
        <v>657</v>
      </c>
      <c r="D156" s="69" t="s">
        <v>772</v>
      </c>
    </row>
    <row r="157" spans="1:4" x14ac:dyDescent="0.3">
      <c r="A157" s="68" t="s">
        <v>1041</v>
      </c>
      <c r="B157" s="68" t="s">
        <v>1042</v>
      </c>
      <c r="C157" s="68" t="s">
        <v>652</v>
      </c>
      <c r="D157" s="69" t="s">
        <v>770</v>
      </c>
    </row>
    <row r="158" spans="1:4" x14ac:dyDescent="0.3">
      <c r="A158" s="67" t="s">
        <v>851</v>
      </c>
      <c r="B158" s="68" t="s">
        <v>1116</v>
      </c>
      <c r="C158" s="68" t="s">
        <v>651</v>
      </c>
      <c r="D158" s="69" t="s">
        <v>771</v>
      </c>
    </row>
    <row r="159" spans="1:4" x14ac:dyDescent="0.3">
      <c r="A159" s="68" t="s">
        <v>1117</v>
      </c>
      <c r="B159" s="68" t="s">
        <v>1116</v>
      </c>
      <c r="C159" s="68" t="s">
        <v>651</v>
      </c>
      <c r="D159" s="69" t="s">
        <v>770</v>
      </c>
    </row>
    <row r="160" spans="1:4" x14ac:dyDescent="0.3">
      <c r="A160" s="68" t="s">
        <v>852</v>
      </c>
      <c r="B160" s="68" t="s">
        <v>1116</v>
      </c>
      <c r="C160" s="68" t="s">
        <v>651</v>
      </c>
      <c r="D160" s="69" t="s">
        <v>772</v>
      </c>
    </row>
    <row r="161" spans="1:4" x14ac:dyDescent="0.3">
      <c r="A161" s="67" t="s">
        <v>1046</v>
      </c>
      <c r="B161" s="68" t="s">
        <v>1118</v>
      </c>
      <c r="C161" s="68" t="s">
        <v>652</v>
      </c>
      <c r="D161" s="69" t="s">
        <v>770</v>
      </c>
    </row>
    <row r="162" spans="1:4" x14ac:dyDescent="0.3">
      <c r="A162" s="68" t="s">
        <v>1048</v>
      </c>
      <c r="B162" s="68" t="s">
        <v>1118</v>
      </c>
      <c r="C162" s="68" t="s">
        <v>652</v>
      </c>
      <c r="D162" s="69" t="s">
        <v>771</v>
      </c>
    </row>
    <row r="163" spans="1:4" x14ac:dyDescent="0.3">
      <c r="A163" s="68" t="s">
        <v>1057</v>
      </c>
      <c r="B163" s="68" t="s">
        <v>1119</v>
      </c>
      <c r="C163" s="68" t="s">
        <v>652</v>
      </c>
      <c r="D163" s="69" t="s">
        <v>771</v>
      </c>
    </row>
    <row r="164" spans="1:4" x14ac:dyDescent="0.3">
      <c r="A164" s="68" t="s">
        <v>1061</v>
      </c>
      <c r="B164" s="68" t="s">
        <v>1120</v>
      </c>
      <c r="C164" s="68" t="s">
        <v>652</v>
      </c>
      <c r="D164" s="69" t="s">
        <v>771</v>
      </c>
    </row>
    <row r="165" spans="1:4" x14ac:dyDescent="0.3">
      <c r="A165" s="68" t="s">
        <v>876</v>
      </c>
      <c r="B165" s="68" t="s">
        <v>1060</v>
      </c>
      <c r="C165" s="68" t="s">
        <v>652</v>
      </c>
      <c r="D165" s="69" t="s">
        <v>771</v>
      </c>
    </row>
    <row r="166" spans="1:4" x14ac:dyDescent="0.3">
      <c r="A166" s="67" t="s">
        <v>1043</v>
      </c>
      <c r="B166" s="68" t="s">
        <v>1060</v>
      </c>
      <c r="C166" s="68" t="s">
        <v>652</v>
      </c>
      <c r="D166" s="69" t="s">
        <v>770</v>
      </c>
    </row>
    <row r="167" spans="1:4" x14ac:dyDescent="0.3">
      <c r="A167" s="67" t="s">
        <v>977</v>
      </c>
      <c r="B167" s="68" t="s">
        <v>1060</v>
      </c>
      <c r="C167" s="68" t="s">
        <v>652</v>
      </c>
      <c r="D167" s="69" t="s">
        <v>771</v>
      </c>
    </row>
    <row r="168" spans="1:4" x14ac:dyDescent="0.3">
      <c r="A168" s="68" t="s">
        <v>1121</v>
      </c>
      <c r="B168" s="68" t="s">
        <v>1060</v>
      </c>
      <c r="C168" s="68" t="s">
        <v>652</v>
      </c>
      <c r="D168" s="69" t="s">
        <v>772</v>
      </c>
    </row>
    <row r="169" spans="1:4" x14ac:dyDescent="0.3">
      <c r="A169" s="72" t="s">
        <v>1122</v>
      </c>
      <c r="B169" s="68" t="s">
        <v>1060</v>
      </c>
      <c r="C169" s="68" t="s">
        <v>652</v>
      </c>
      <c r="D169" s="69" t="s">
        <v>772</v>
      </c>
    </row>
    <row r="170" spans="1:4" x14ac:dyDescent="0.3">
      <c r="A170" s="68" t="s">
        <v>546</v>
      </c>
      <c r="B170" s="68" t="s">
        <v>1123</v>
      </c>
      <c r="C170" s="68" t="s">
        <v>652</v>
      </c>
      <c r="D170" s="69" t="s">
        <v>770</v>
      </c>
    </row>
    <row r="171" spans="1:4" x14ac:dyDescent="0.3">
      <c r="A171" s="68" t="s">
        <v>1051</v>
      </c>
      <c r="B171" s="68" t="s">
        <v>1124</v>
      </c>
      <c r="C171" s="68" t="s">
        <v>652</v>
      </c>
      <c r="D171" s="69" t="s">
        <v>771</v>
      </c>
    </row>
    <row r="172" spans="1:4" x14ac:dyDescent="0.3">
      <c r="A172" s="68" t="s">
        <v>1049</v>
      </c>
      <c r="B172" s="68" t="s">
        <v>1124</v>
      </c>
      <c r="C172" s="68" t="s">
        <v>652</v>
      </c>
      <c r="D172" s="69" t="s">
        <v>770</v>
      </c>
    </row>
    <row r="173" spans="1:4" x14ac:dyDescent="0.3">
      <c r="A173" s="68" t="s">
        <v>751</v>
      </c>
      <c r="B173" s="68" t="s">
        <v>1053</v>
      </c>
      <c r="C173" s="68" t="s">
        <v>652</v>
      </c>
      <c r="D173" s="69" t="s">
        <v>771</v>
      </c>
    </row>
    <row r="174" spans="1:4" x14ac:dyDescent="0.3">
      <c r="A174" s="68" t="s">
        <v>1052</v>
      </c>
      <c r="B174" s="68" t="s">
        <v>1053</v>
      </c>
      <c r="C174" s="68" t="s">
        <v>652</v>
      </c>
      <c r="D174" s="69" t="s">
        <v>770</v>
      </c>
    </row>
    <row r="175" spans="1:4" x14ac:dyDescent="0.3">
      <c r="A175" s="68" t="s">
        <v>119</v>
      </c>
      <c r="B175" s="68" t="s">
        <v>1125</v>
      </c>
      <c r="C175" s="68" t="s">
        <v>652</v>
      </c>
      <c r="D175" s="69" t="s">
        <v>770</v>
      </c>
    </row>
    <row r="176" spans="1:4" x14ac:dyDescent="0.3">
      <c r="A176" s="68" t="s">
        <v>120</v>
      </c>
      <c r="B176" s="68" t="s">
        <v>1125</v>
      </c>
      <c r="C176" s="68" t="s">
        <v>652</v>
      </c>
      <c r="D176" s="69" t="s">
        <v>771</v>
      </c>
    </row>
    <row r="177" spans="1:4" x14ac:dyDescent="0.3">
      <c r="A177" s="68" t="s">
        <v>121</v>
      </c>
      <c r="B177" s="68" t="s">
        <v>1126</v>
      </c>
      <c r="C177" s="68" t="s">
        <v>652</v>
      </c>
      <c r="D177" s="69" t="s">
        <v>770</v>
      </c>
    </row>
    <row r="178" spans="1:4" x14ac:dyDescent="0.3">
      <c r="A178" s="68" t="s">
        <v>122</v>
      </c>
      <c r="B178" s="68" t="s">
        <v>1126</v>
      </c>
      <c r="C178" s="68" t="s">
        <v>652</v>
      </c>
      <c r="D178" s="69" t="s">
        <v>771</v>
      </c>
    </row>
    <row r="179" spans="1:4" x14ac:dyDescent="0.3">
      <c r="A179" s="68" t="s">
        <v>123</v>
      </c>
      <c r="B179" s="68" t="s">
        <v>1127</v>
      </c>
      <c r="C179" s="68" t="s">
        <v>652</v>
      </c>
      <c r="D179" s="69" t="s">
        <v>770</v>
      </c>
    </row>
    <row r="180" spans="1:4" x14ac:dyDescent="0.3">
      <c r="A180" s="68" t="s">
        <v>124</v>
      </c>
      <c r="B180" s="68" t="s">
        <v>1127</v>
      </c>
      <c r="C180" s="68" t="s">
        <v>652</v>
      </c>
      <c r="D180" s="69" t="s">
        <v>771</v>
      </c>
    </row>
    <row r="181" spans="1:4" x14ac:dyDescent="0.3">
      <c r="A181" s="68" t="s">
        <v>125</v>
      </c>
      <c r="B181" s="68" t="s">
        <v>1128</v>
      </c>
      <c r="C181" s="68" t="s">
        <v>652</v>
      </c>
      <c r="D181" s="69" t="s">
        <v>770</v>
      </c>
    </row>
    <row r="182" spans="1:4" x14ac:dyDescent="0.3">
      <c r="A182" s="68" t="s">
        <v>522</v>
      </c>
      <c r="B182" s="68" t="s">
        <v>521</v>
      </c>
      <c r="C182" s="68" t="s">
        <v>652</v>
      </c>
      <c r="D182" s="69" t="s">
        <v>770</v>
      </c>
    </row>
    <row r="183" spans="1:4" x14ac:dyDescent="0.3">
      <c r="A183" s="68" t="s">
        <v>523</v>
      </c>
      <c r="B183" s="68" t="s">
        <v>521</v>
      </c>
      <c r="C183" s="68" t="s">
        <v>652</v>
      </c>
      <c r="D183" s="69" t="s">
        <v>771</v>
      </c>
    </row>
    <row r="184" spans="1:4" x14ac:dyDescent="0.3">
      <c r="A184" s="68" t="s">
        <v>488</v>
      </c>
      <c r="B184" s="68" t="s">
        <v>489</v>
      </c>
      <c r="C184" s="68" t="s">
        <v>652</v>
      </c>
      <c r="D184" s="69" t="s">
        <v>770</v>
      </c>
    </row>
    <row r="185" spans="1:4" x14ac:dyDescent="0.3">
      <c r="A185" s="68" t="s">
        <v>490</v>
      </c>
      <c r="B185" s="68" t="s">
        <v>489</v>
      </c>
      <c r="C185" s="68" t="s">
        <v>652</v>
      </c>
      <c r="D185" s="69" t="s">
        <v>771</v>
      </c>
    </row>
    <row r="186" spans="1:4" x14ac:dyDescent="0.3">
      <c r="A186" s="68" t="s">
        <v>55</v>
      </c>
      <c r="B186" s="68" t="s">
        <v>1129</v>
      </c>
      <c r="C186" s="68" t="s">
        <v>652</v>
      </c>
      <c r="D186" s="69" t="s">
        <v>770</v>
      </c>
    </row>
    <row r="187" spans="1:4" x14ac:dyDescent="0.3">
      <c r="A187" s="68" t="s">
        <v>56</v>
      </c>
      <c r="B187" s="68" t="s">
        <v>1129</v>
      </c>
      <c r="C187" s="68" t="s">
        <v>652</v>
      </c>
      <c r="D187" s="69" t="s">
        <v>771</v>
      </c>
    </row>
    <row r="188" spans="1:4" x14ac:dyDescent="0.3">
      <c r="A188" s="68" t="s">
        <v>572</v>
      </c>
      <c r="B188" s="68" t="s">
        <v>1130</v>
      </c>
      <c r="C188" s="68" t="s">
        <v>652</v>
      </c>
      <c r="D188" s="69" t="s">
        <v>771</v>
      </c>
    </row>
    <row r="189" spans="1:4" x14ac:dyDescent="0.3">
      <c r="A189" s="68" t="s">
        <v>576</v>
      </c>
      <c r="B189" s="68" t="s">
        <v>1131</v>
      </c>
      <c r="C189" s="68" t="s">
        <v>652</v>
      </c>
      <c r="D189" s="69" t="s">
        <v>771</v>
      </c>
    </row>
    <row r="190" spans="1:4" x14ac:dyDescent="0.3">
      <c r="A190" s="68" t="s">
        <v>574</v>
      </c>
      <c r="B190" s="68" t="s">
        <v>1132</v>
      </c>
      <c r="C190" s="68" t="s">
        <v>652</v>
      </c>
      <c r="D190" s="69" t="s">
        <v>771</v>
      </c>
    </row>
    <row r="191" spans="1:4" x14ac:dyDescent="0.3">
      <c r="A191" s="68" t="s">
        <v>578</v>
      </c>
      <c r="B191" s="68" t="s">
        <v>1133</v>
      </c>
      <c r="C191" s="68" t="s">
        <v>652</v>
      </c>
      <c r="D191" s="69" t="s">
        <v>771</v>
      </c>
    </row>
    <row r="192" spans="1:4" x14ac:dyDescent="0.3">
      <c r="A192" s="68" t="s">
        <v>580</v>
      </c>
      <c r="B192" s="68" t="s">
        <v>1134</v>
      </c>
      <c r="C192" s="68" t="s">
        <v>652</v>
      </c>
      <c r="D192" s="69" t="s">
        <v>771</v>
      </c>
    </row>
    <row r="193" spans="1:4" x14ac:dyDescent="0.3">
      <c r="A193" s="68" t="s">
        <v>581</v>
      </c>
      <c r="B193" s="68" t="s">
        <v>1134</v>
      </c>
      <c r="C193" s="68" t="s">
        <v>652</v>
      </c>
      <c r="D193" s="69" t="s">
        <v>771</v>
      </c>
    </row>
    <row r="194" spans="1:4" x14ac:dyDescent="0.3">
      <c r="A194" s="68" t="s">
        <v>582</v>
      </c>
      <c r="B194" s="68" t="s">
        <v>1134</v>
      </c>
      <c r="C194" s="68" t="s">
        <v>652</v>
      </c>
      <c r="D194" s="69" t="s">
        <v>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758C-98C5-4D1A-B73E-AB93A2D45A68}">
  <dimension ref="A1:G10"/>
  <sheetViews>
    <sheetView workbookViewId="0">
      <selection activeCell="F17" sqref="F17"/>
    </sheetView>
  </sheetViews>
  <sheetFormatPr baseColWidth="10" defaultRowHeight="14.4" x14ac:dyDescent="0.3"/>
  <cols>
    <col min="6" max="6" width="20.33203125" customWidth="1"/>
  </cols>
  <sheetData>
    <row r="1" spans="1:7" x14ac:dyDescent="0.3">
      <c r="A1" s="44">
        <v>608</v>
      </c>
      <c r="B1" s="55" t="s">
        <v>1207</v>
      </c>
      <c r="C1" s="34" t="s">
        <v>1208</v>
      </c>
      <c r="D1" s="34" t="s">
        <v>782</v>
      </c>
      <c r="E1" s="34" t="s">
        <v>1210</v>
      </c>
      <c r="F1" s="54" t="s">
        <v>1209</v>
      </c>
      <c r="G1" s="34"/>
    </row>
    <row r="2" spans="1:7" x14ac:dyDescent="0.3">
      <c r="A2" s="44">
        <v>609</v>
      </c>
      <c r="B2" s="55" t="s">
        <v>1211</v>
      </c>
      <c r="C2" s="34" t="s">
        <v>1208</v>
      </c>
      <c r="D2" s="34" t="s">
        <v>782</v>
      </c>
      <c r="E2" s="34" t="s">
        <v>1210</v>
      </c>
      <c r="F2" s="54" t="s">
        <v>1209</v>
      </c>
      <c r="G2" s="34"/>
    </row>
    <row r="3" spans="1:7" x14ac:dyDescent="0.3">
      <c r="A3" s="44">
        <v>610</v>
      </c>
      <c r="B3" s="34" t="s">
        <v>1212</v>
      </c>
      <c r="C3" s="34" t="s">
        <v>1213</v>
      </c>
      <c r="D3" s="34" t="s">
        <v>782</v>
      </c>
      <c r="E3" s="34" t="s">
        <v>1210</v>
      </c>
      <c r="F3" s="54" t="s">
        <v>1226</v>
      </c>
      <c r="G3" s="34"/>
    </row>
    <row r="4" spans="1:7" x14ac:dyDescent="0.3">
      <c r="A4" s="44">
        <v>611</v>
      </c>
      <c r="B4" s="34" t="s">
        <v>1214</v>
      </c>
      <c r="C4" s="34" t="s">
        <v>1215</v>
      </c>
      <c r="D4" s="34" t="s">
        <v>782</v>
      </c>
      <c r="E4" s="34" t="s">
        <v>1210</v>
      </c>
      <c r="F4" s="54" t="s">
        <v>1226</v>
      </c>
      <c r="G4" s="34"/>
    </row>
    <row r="5" spans="1:7" x14ac:dyDescent="0.3">
      <c r="A5" s="44">
        <v>612</v>
      </c>
      <c r="B5" s="34" t="s">
        <v>1216</v>
      </c>
      <c r="C5" s="34" t="s">
        <v>1217</v>
      </c>
      <c r="D5" s="34" t="s">
        <v>782</v>
      </c>
      <c r="E5" s="34" t="s">
        <v>1210</v>
      </c>
      <c r="F5" s="54" t="s">
        <v>1226</v>
      </c>
      <c r="G5" s="34"/>
    </row>
    <row r="6" spans="1:7" x14ac:dyDescent="0.3">
      <c r="A6" s="44">
        <v>613</v>
      </c>
      <c r="B6" s="34" t="s">
        <v>1218</v>
      </c>
      <c r="C6" s="34" t="s">
        <v>1219</v>
      </c>
      <c r="D6" s="34" t="s">
        <v>782</v>
      </c>
      <c r="E6" s="34" t="s">
        <v>1210</v>
      </c>
      <c r="F6" s="54" t="s">
        <v>1226</v>
      </c>
      <c r="G6" s="34"/>
    </row>
    <row r="7" spans="1:7" x14ac:dyDescent="0.3">
      <c r="A7" s="44">
        <v>614</v>
      </c>
      <c r="B7" s="34" t="s">
        <v>1220</v>
      </c>
      <c r="C7" s="34" t="s">
        <v>1221</v>
      </c>
      <c r="D7" s="34" t="s">
        <v>782</v>
      </c>
      <c r="E7" s="34" t="s">
        <v>1210</v>
      </c>
      <c r="F7" s="54" t="s">
        <v>1226</v>
      </c>
      <c r="G7" s="34"/>
    </row>
    <row r="8" spans="1:7" x14ac:dyDescent="0.3">
      <c r="A8" s="44">
        <v>615</v>
      </c>
      <c r="B8" s="34" t="s">
        <v>1222</v>
      </c>
      <c r="C8" s="34" t="s">
        <v>1223</v>
      </c>
      <c r="D8" s="34" t="s">
        <v>782</v>
      </c>
      <c r="E8" s="34" t="s">
        <v>1210</v>
      </c>
      <c r="F8" s="54" t="s">
        <v>1226</v>
      </c>
      <c r="G8" s="34"/>
    </row>
    <row r="9" spans="1:7" x14ac:dyDescent="0.3">
      <c r="A9" s="44">
        <v>616</v>
      </c>
      <c r="B9" s="34" t="s">
        <v>1224</v>
      </c>
      <c r="C9" s="34" t="s">
        <v>1225</v>
      </c>
      <c r="D9" s="34" t="s">
        <v>782</v>
      </c>
      <c r="E9" s="34" t="s">
        <v>1210</v>
      </c>
      <c r="F9" s="54" t="s">
        <v>1226</v>
      </c>
      <c r="G9" s="34"/>
    </row>
    <row r="10" spans="1:7" x14ac:dyDescent="0.3">
      <c r="A10" s="44">
        <v>617</v>
      </c>
      <c r="B10" s="55" t="s">
        <v>1227</v>
      </c>
      <c r="C10" s="34" t="s">
        <v>1228</v>
      </c>
      <c r="D10" s="34" t="s">
        <v>782</v>
      </c>
      <c r="E10" s="34" t="s">
        <v>1210</v>
      </c>
      <c r="F10" s="54" t="s">
        <v>1229</v>
      </c>
      <c r="G10" s="34"/>
    </row>
  </sheetData>
  <conditionalFormatting sqref="B1:B10">
    <cfRule type="duplicateValues" dxfId="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A634-7316-43D4-A9B4-3BB9BA62035B}">
  <dimension ref="A1:D413"/>
  <sheetViews>
    <sheetView topLeftCell="A40" workbookViewId="0">
      <selection activeCell="H49" sqref="H49"/>
    </sheetView>
  </sheetViews>
  <sheetFormatPr baseColWidth="10" defaultColWidth="11.5546875" defaultRowHeight="14.4" x14ac:dyDescent="0.3"/>
  <cols>
    <col min="2" max="2" width="37.21875" customWidth="1"/>
  </cols>
  <sheetData>
    <row r="1" spans="1:4" x14ac:dyDescent="0.3">
      <c r="A1" s="2" t="s">
        <v>5</v>
      </c>
      <c r="B1" s="3" t="s">
        <v>3</v>
      </c>
      <c r="C1" s="1" t="s">
        <v>651</v>
      </c>
      <c r="D1" s="21" t="str">
        <f>_xlfn.IFNA(VLOOKUP(A1,'[1]Validacion CPUs'!C:H,6,FALSE),_xlfn.IFNA(VLOOKUP(A1,'[1]Validacion TP'!A:H,8,FALSE),VLOOKUP(A1,'[1]Validacion UPS'!A:H,8,FALSE)))</f>
        <v>UPS</v>
      </c>
    </row>
    <row r="2" spans="1:4" x14ac:dyDescent="0.3">
      <c r="A2" s="2" t="s">
        <v>15</v>
      </c>
      <c r="B2" s="4" t="s">
        <v>3</v>
      </c>
      <c r="C2" s="1" t="s">
        <v>651</v>
      </c>
      <c r="D2" s="21" t="str">
        <f>_xlfn.IFNA(VLOOKUP(A2,'[1]Validacion CPUs'!C:H,6,FALSE),_xlfn.IFNA(VLOOKUP(A2,'[1]Validacion TP'!A:H,8,FALSE),VLOOKUP(A2,'[1]Validacion UPS'!A:H,8,FALSE)))</f>
        <v>COMPUTADORA DE ESCRITORIO</v>
      </c>
    </row>
    <row r="3" spans="1:4" x14ac:dyDescent="0.3">
      <c r="A3" s="5" t="s">
        <v>6</v>
      </c>
      <c r="B3" s="6" t="s">
        <v>7</v>
      </c>
      <c r="C3" s="1" t="s">
        <v>651</v>
      </c>
      <c r="D3" s="21" t="str">
        <f>_xlfn.IFNA(VLOOKUP(A3,'[1]Validacion CPUs'!C:H,6,FALSE),_xlfn.IFNA(VLOOKUP(A3,'[1]Validacion TP'!A:H,8,FALSE),VLOOKUP(A3,'[1]Validacion UPS'!A:H,8,FALSE)))</f>
        <v>COMPUTADORA DE ESCRITORIO</v>
      </c>
    </row>
    <row r="4" spans="1:4" x14ac:dyDescent="0.3">
      <c r="A4" s="2" t="s">
        <v>8</v>
      </c>
      <c r="B4" s="3" t="s">
        <v>7</v>
      </c>
      <c r="C4" s="1" t="s">
        <v>651</v>
      </c>
      <c r="D4" s="21" t="str">
        <f>_xlfn.IFNA(VLOOKUP(A4,'[1]Validacion CPUs'!C:H,6,FALSE),_xlfn.IFNA(VLOOKUP(A4,'[1]Validacion TP'!A:H,8,FALSE),VLOOKUP(A4,'[1]Validacion UPS'!A:H,8,FALSE)))</f>
        <v>UPS</v>
      </c>
    </row>
    <row r="5" spans="1:4" x14ac:dyDescent="0.3">
      <c r="A5" s="2" t="s">
        <v>11</v>
      </c>
      <c r="B5" s="4" t="s">
        <v>10</v>
      </c>
      <c r="C5" s="1" t="s">
        <v>651</v>
      </c>
      <c r="D5" s="21" t="str">
        <f>_xlfn.IFNA(VLOOKUP(A5,'[1]Validacion CPUs'!C:H,6,FALSE),_xlfn.IFNA(VLOOKUP(A5,'[1]Validacion TP'!A:H,8,FALSE),VLOOKUP(A5,'[1]Validacion UPS'!A:H,8,FALSE)))</f>
        <v>UPS</v>
      </c>
    </row>
    <row r="6" spans="1:4" x14ac:dyDescent="0.3">
      <c r="A6" s="5" t="s">
        <v>126</v>
      </c>
      <c r="B6" s="6" t="s">
        <v>10</v>
      </c>
      <c r="C6" s="1" t="s">
        <v>651</v>
      </c>
      <c r="D6" s="21" t="str">
        <f>_xlfn.IFNA(VLOOKUP(A6,'[1]Validacion CPUs'!C:H,6,FALSE),_xlfn.IFNA(VLOOKUP(A6,'[1]Validacion TP'!A:H,8,FALSE),VLOOKUP(A6,'[1]Validacion UPS'!A:H,8,FALSE)))</f>
        <v>COMPUTADORA DE ESCRITORIO</v>
      </c>
    </row>
    <row r="7" spans="1:4" x14ac:dyDescent="0.3">
      <c r="A7" s="2" t="s">
        <v>14</v>
      </c>
      <c r="B7" s="3" t="s">
        <v>13</v>
      </c>
      <c r="C7" s="1" t="s">
        <v>652</v>
      </c>
      <c r="D7" s="21" t="str">
        <f>_xlfn.IFNA(VLOOKUP(A7,'[1]Validacion CPUs'!C:H,6,FALSE),_xlfn.IFNA(VLOOKUP(A7,'[1]Validacion TP'!A:H,8,FALSE),VLOOKUP(A7,'[1]Validacion UPS'!A:H,8,FALSE)))</f>
        <v>UPS</v>
      </c>
    </row>
    <row r="8" spans="1:4" x14ac:dyDescent="0.3">
      <c r="A8" s="2" t="s">
        <v>12</v>
      </c>
      <c r="B8" s="4" t="s">
        <v>13</v>
      </c>
      <c r="C8" s="1" t="s">
        <v>652</v>
      </c>
      <c r="D8" s="21" t="str">
        <f>_xlfn.IFNA(VLOOKUP(A8,'[1]Validacion CPUs'!C:H,6,FALSE),_xlfn.IFNA(VLOOKUP(A8,'[1]Validacion TP'!A:H,8,FALSE),VLOOKUP(A8,'[1]Validacion UPS'!A:H,8,FALSE)))</f>
        <v>COMPUTADORA DE ESCRITORIO</v>
      </c>
    </row>
    <row r="9" spans="1:4" x14ac:dyDescent="0.3">
      <c r="A9" s="5" t="s">
        <v>462</v>
      </c>
      <c r="B9" s="6" t="s">
        <v>17</v>
      </c>
      <c r="C9" s="1" t="s">
        <v>652</v>
      </c>
      <c r="D9" s="21" t="str">
        <f>_xlfn.IFNA(VLOOKUP(A9,'[1]Validacion CPUs'!C:H,6,FALSE),_xlfn.IFNA(VLOOKUP(A9,'[1]Validacion TP'!A:H,8,FALSE),VLOOKUP(A9,'[1]Validacion UPS'!A:H,8,FALSE)))</f>
        <v>COMPUTADORA DE ESCRITORIO</v>
      </c>
    </row>
    <row r="10" spans="1:4" x14ac:dyDescent="0.3">
      <c r="A10" s="2" t="s">
        <v>16</v>
      </c>
      <c r="B10" s="3" t="s">
        <v>17</v>
      </c>
      <c r="C10" s="1" t="s">
        <v>652</v>
      </c>
      <c r="D10" s="21" t="str">
        <f>_xlfn.IFNA(VLOOKUP(A10,'[1]Validacion CPUs'!C:H,6,FALSE),_xlfn.IFNA(VLOOKUP(A10,'[1]Validacion TP'!A:H,8,FALSE),VLOOKUP(A10,'[1]Validacion UPS'!A:H,8,FALSE)))</f>
        <v>UPS</v>
      </c>
    </row>
    <row r="11" spans="1:4" x14ac:dyDescent="0.3">
      <c r="A11" s="2" t="s">
        <v>19</v>
      </c>
      <c r="B11" s="4" t="s">
        <v>20</v>
      </c>
      <c r="C11" s="1" t="s">
        <v>652</v>
      </c>
      <c r="D11" s="21" t="str">
        <f>_xlfn.IFNA(VLOOKUP(A11,'[1]Validacion CPUs'!C:H,6,FALSE),_xlfn.IFNA(VLOOKUP(A11,'[1]Validacion TP'!A:H,8,FALSE),VLOOKUP(A11,'[1]Validacion UPS'!A:H,8,FALSE)))</f>
        <v>UPS</v>
      </c>
    </row>
    <row r="12" spans="1:4" x14ac:dyDescent="0.3">
      <c r="A12" s="5" t="s">
        <v>653</v>
      </c>
      <c r="B12" s="6" t="s">
        <v>20</v>
      </c>
      <c r="C12" s="1" t="s">
        <v>652</v>
      </c>
      <c r="D12" s="21" t="str">
        <f>_xlfn.IFNA(VLOOKUP(A12,'[1]Validacion CPUs'!C:H,6,FALSE),_xlfn.IFNA(VLOOKUP(A12,'[1]Validacion TP'!A:H,8,FALSE),VLOOKUP(A12,'[1]Validacion UPS'!A:H,8,FALSE)))</f>
        <v>COMPUTADORA DE ESCRITORIO</v>
      </c>
    </row>
    <row r="13" spans="1:4" x14ac:dyDescent="0.3">
      <c r="A13" s="2" t="s">
        <v>22</v>
      </c>
      <c r="B13" s="7" t="s">
        <v>654</v>
      </c>
      <c r="C13" s="1" t="s">
        <v>652</v>
      </c>
      <c r="D13" s="21" t="str">
        <f>_xlfn.IFNA(VLOOKUP(A13,'[1]Validacion CPUs'!C:H,6,FALSE),_xlfn.IFNA(VLOOKUP(A13,'[1]Validacion TP'!A:H,8,FALSE),VLOOKUP(A13,'[1]Validacion UPS'!A:H,8,FALSE)))</f>
        <v>UPS</v>
      </c>
    </row>
    <row r="14" spans="1:4" x14ac:dyDescent="0.3">
      <c r="A14" s="5" t="s">
        <v>21</v>
      </c>
      <c r="B14" s="7" t="s">
        <v>654</v>
      </c>
      <c r="C14" s="1" t="s">
        <v>652</v>
      </c>
      <c r="D14" s="21" t="str">
        <f>_xlfn.IFNA(VLOOKUP(A14,'[1]Validacion CPUs'!C:H,6,FALSE),_xlfn.IFNA(VLOOKUP(A14,'[1]Validacion TP'!A:H,8,FALSE),VLOOKUP(A14,'[1]Validacion UPS'!A:H,8,FALSE)))</f>
        <v>COMPUTADORA DE ESCRITORIO</v>
      </c>
    </row>
    <row r="15" spans="1:4" x14ac:dyDescent="0.3">
      <c r="A15" s="8" t="s">
        <v>24</v>
      </c>
      <c r="B15" s="3" t="s">
        <v>655</v>
      </c>
      <c r="C15" s="1" t="s">
        <v>652</v>
      </c>
      <c r="D15" s="21" t="str">
        <f>_xlfn.IFNA(VLOOKUP(A15,'[1]Validacion CPUs'!C:H,6,FALSE),_xlfn.IFNA(VLOOKUP(A15,'[1]Validacion TP'!A:H,8,FALSE),VLOOKUP(A15,'[1]Validacion UPS'!A:H,8,FALSE)))</f>
        <v>UPS</v>
      </c>
    </row>
    <row r="16" spans="1:4" x14ac:dyDescent="0.3">
      <c r="A16" s="5" t="s">
        <v>9</v>
      </c>
      <c r="B16" s="6" t="s">
        <v>655</v>
      </c>
      <c r="C16" s="1" t="s">
        <v>652</v>
      </c>
      <c r="D16" s="21" t="str">
        <f>_xlfn.IFNA(VLOOKUP(A16,'[1]Validacion CPUs'!C:H,6,FALSE),_xlfn.IFNA(VLOOKUP(A16,'[1]Validacion TP'!A:H,8,FALSE),VLOOKUP(A16,'[1]Validacion UPS'!A:H,8,FALSE)))</f>
        <v>COMPUTADORA DE ESCRITORIO</v>
      </c>
    </row>
    <row r="17" spans="1:4" x14ac:dyDescent="0.3">
      <c r="A17" s="8" t="s">
        <v>25</v>
      </c>
      <c r="B17" s="3" t="s">
        <v>656</v>
      </c>
      <c r="C17" s="1" t="s">
        <v>651</v>
      </c>
      <c r="D17" s="21" t="str">
        <f>_xlfn.IFNA(VLOOKUP(A17,'[1]Validacion CPUs'!C:H,6,FALSE),_xlfn.IFNA(VLOOKUP(A17,'[1]Validacion TP'!A:H,8,FALSE),VLOOKUP(A17,'[1]Validacion UPS'!A:H,8,FALSE)))</f>
        <v>UPS</v>
      </c>
    </row>
    <row r="18" spans="1:4" x14ac:dyDescent="0.3">
      <c r="A18" s="5" t="s">
        <v>28</v>
      </c>
      <c r="B18" s="6" t="s">
        <v>36</v>
      </c>
      <c r="C18" s="1" t="s">
        <v>657</v>
      </c>
      <c r="D18" s="21" t="str">
        <f>_xlfn.IFNA(VLOOKUP(A18,'[1]Validacion CPUs'!C:H,6,FALSE),_xlfn.IFNA(VLOOKUP(A18,'[1]Validacion TP'!A:H,8,FALSE),VLOOKUP(A18,'[1]Validacion UPS'!A:H,8,FALSE)))</f>
        <v>UPS</v>
      </c>
    </row>
    <row r="19" spans="1:4" x14ac:dyDescent="0.3">
      <c r="A19" s="8" t="s">
        <v>26</v>
      </c>
      <c r="B19" s="3" t="s">
        <v>36</v>
      </c>
      <c r="C19" s="1" t="s">
        <v>657</v>
      </c>
      <c r="D19" s="21" t="str">
        <f>_xlfn.IFNA(VLOOKUP(A19,'[1]Validacion CPUs'!C:H,6,FALSE),_xlfn.IFNA(VLOOKUP(A19,'[1]Validacion TP'!A:H,8,FALSE),VLOOKUP(A19,'[1]Validacion UPS'!A:H,8,FALSE)))</f>
        <v>COMPUTADORA DE ESCRITORIO</v>
      </c>
    </row>
    <row r="20" spans="1:4" x14ac:dyDescent="0.3">
      <c r="A20" s="5" t="s">
        <v>27</v>
      </c>
      <c r="B20" s="6" t="s">
        <v>36</v>
      </c>
      <c r="C20" s="1" t="s">
        <v>657</v>
      </c>
      <c r="D20" s="21" t="str">
        <f>_xlfn.IFNA(VLOOKUP(A20,'[1]Validacion CPUs'!C:H,6,FALSE),_xlfn.IFNA(VLOOKUP(A20,'[1]Validacion TP'!A:H,8,FALSE),VLOOKUP(A20,'[1]Validacion UPS'!A:H,8,FALSE)))</f>
        <v>IMPRESORA TERMICA</v>
      </c>
    </row>
    <row r="21" spans="1:4" x14ac:dyDescent="0.3">
      <c r="A21" s="8" t="s">
        <v>30</v>
      </c>
      <c r="B21" s="3" t="s">
        <v>37</v>
      </c>
      <c r="C21" s="1" t="s">
        <v>657</v>
      </c>
      <c r="D21" s="21" t="str">
        <f>_xlfn.IFNA(VLOOKUP(A21,'[1]Validacion CPUs'!C:H,6,FALSE),_xlfn.IFNA(VLOOKUP(A21,'[1]Validacion TP'!A:H,8,FALSE),VLOOKUP(A21,'[1]Validacion UPS'!A:H,8,FALSE)))</f>
        <v>IMPRESORA TERMICA</v>
      </c>
    </row>
    <row r="22" spans="1:4" x14ac:dyDescent="0.3">
      <c r="A22" s="5" t="s">
        <v>29</v>
      </c>
      <c r="B22" s="6" t="s">
        <v>37</v>
      </c>
      <c r="C22" s="1" t="s">
        <v>657</v>
      </c>
      <c r="D22" s="21" t="str">
        <f>_xlfn.IFNA(VLOOKUP(A22,'[1]Validacion CPUs'!C:H,6,FALSE),_xlfn.IFNA(VLOOKUP(A22,'[1]Validacion TP'!A:H,8,FALSE),VLOOKUP(A22,'[1]Validacion UPS'!A:H,8,FALSE)))</f>
        <v>COMPUTADORA DE ESCRITORIO</v>
      </c>
    </row>
    <row r="23" spans="1:4" x14ac:dyDescent="0.3">
      <c r="A23" s="9" t="s">
        <v>31</v>
      </c>
      <c r="B23" s="3" t="s">
        <v>37</v>
      </c>
      <c r="C23" s="1" t="s">
        <v>657</v>
      </c>
      <c r="D23" s="21" t="str">
        <f>_xlfn.IFNA(VLOOKUP(A23,'[1]Validacion CPUs'!C:H,6,FALSE),_xlfn.IFNA(VLOOKUP(A23,'[1]Validacion TP'!A:H,8,FALSE),VLOOKUP(A23,'[1]Validacion UPS'!A:H,8,FALSE)))</f>
        <v>UPS</v>
      </c>
    </row>
    <row r="24" spans="1:4" x14ac:dyDescent="0.3">
      <c r="A24" s="2" t="s">
        <v>40</v>
      </c>
      <c r="B24" s="3" t="s">
        <v>38</v>
      </c>
      <c r="C24" s="1" t="s">
        <v>657</v>
      </c>
      <c r="D24" s="21" t="str">
        <f>_xlfn.IFNA(VLOOKUP(A24,'[1]Validacion CPUs'!C:H,6,FALSE),_xlfn.IFNA(VLOOKUP(A24,'[1]Validacion TP'!A:H,8,FALSE),VLOOKUP(A24,'[1]Validacion UPS'!A:H,8,FALSE)))</f>
        <v>UPS</v>
      </c>
    </row>
    <row r="25" spans="1:4" x14ac:dyDescent="0.3">
      <c r="A25" s="5" t="s">
        <v>32</v>
      </c>
      <c r="B25" s="10" t="s">
        <v>38</v>
      </c>
      <c r="C25" s="1" t="s">
        <v>657</v>
      </c>
      <c r="D25" s="21" t="str">
        <f>_xlfn.IFNA(VLOOKUP(A25,'[1]Validacion CPUs'!C:H,6,FALSE),_xlfn.IFNA(VLOOKUP(A25,'[1]Validacion TP'!A:H,8,FALSE),VLOOKUP(A25,'[1]Validacion UPS'!A:H,8,FALSE)))</f>
        <v>COMPUTADORA DE ESCRITORIO</v>
      </c>
    </row>
    <row r="26" spans="1:4" x14ac:dyDescent="0.3">
      <c r="A26" s="5" t="s">
        <v>39</v>
      </c>
      <c r="B26" s="6" t="s">
        <v>38</v>
      </c>
      <c r="C26" s="1" t="s">
        <v>657</v>
      </c>
      <c r="D26" s="21" t="str">
        <f>_xlfn.IFNA(VLOOKUP(A26,'[1]Validacion CPUs'!C:H,6,FALSE),_xlfn.IFNA(VLOOKUP(A26,'[1]Validacion TP'!A:H,8,FALSE),VLOOKUP(A26,'[1]Validacion UPS'!A:H,8,FALSE)))</f>
        <v>IMPRESORA TERMICA</v>
      </c>
    </row>
    <row r="27" spans="1:4" x14ac:dyDescent="0.3">
      <c r="A27" s="8" t="s">
        <v>42</v>
      </c>
      <c r="B27" s="3" t="s">
        <v>62</v>
      </c>
      <c r="C27" s="1" t="s">
        <v>657</v>
      </c>
      <c r="D27" s="21" t="str">
        <f>_xlfn.IFNA(VLOOKUP(A27,'[1]Validacion CPUs'!C:H,6,FALSE),_xlfn.IFNA(VLOOKUP(A27,'[1]Validacion TP'!A:H,8,FALSE),VLOOKUP(A27,'[1]Validacion UPS'!A:H,8,FALSE)))</f>
        <v>IMPRESORA TERMICA</v>
      </c>
    </row>
    <row r="28" spans="1:4" x14ac:dyDescent="0.3">
      <c r="A28" s="5" t="s">
        <v>41</v>
      </c>
      <c r="B28" s="6" t="s">
        <v>62</v>
      </c>
      <c r="C28" s="1" t="s">
        <v>657</v>
      </c>
      <c r="D28" s="21" t="str">
        <f>_xlfn.IFNA(VLOOKUP(A28,'[1]Validacion CPUs'!C:H,6,FALSE),_xlfn.IFNA(VLOOKUP(A28,'[1]Validacion TP'!A:H,8,FALSE),VLOOKUP(A28,'[1]Validacion UPS'!A:H,8,FALSE)))</f>
        <v>COMPUTADORA DE ESCRITORIO</v>
      </c>
    </row>
    <row r="29" spans="1:4" x14ac:dyDescent="0.3">
      <c r="A29" s="11" t="s">
        <v>43</v>
      </c>
      <c r="B29" s="7" t="s">
        <v>62</v>
      </c>
      <c r="C29" s="1" t="s">
        <v>657</v>
      </c>
      <c r="D29" s="21" t="str">
        <f>_xlfn.IFNA(VLOOKUP(A29,'[1]Validacion CPUs'!C:H,6,FALSE),_xlfn.IFNA(VLOOKUP(A29,'[1]Validacion TP'!A:H,8,FALSE),VLOOKUP(A29,'[1]Validacion UPS'!A:H,8,FALSE)))</f>
        <v>UPS</v>
      </c>
    </row>
    <row r="30" spans="1:4" x14ac:dyDescent="0.3">
      <c r="A30" s="2" t="s">
        <v>46</v>
      </c>
      <c r="B30" s="4" t="s">
        <v>63</v>
      </c>
      <c r="C30" s="1" t="s">
        <v>657</v>
      </c>
      <c r="D30" s="21" t="str">
        <f>_xlfn.IFNA(VLOOKUP(A30,'[1]Validacion CPUs'!C:H,6,FALSE),_xlfn.IFNA(VLOOKUP(A30,'[1]Validacion TP'!A:H,8,FALSE),VLOOKUP(A30,'[1]Validacion UPS'!A:H,8,FALSE)))</f>
        <v>UPS</v>
      </c>
    </row>
    <row r="31" spans="1:4" x14ac:dyDescent="0.3">
      <c r="A31" s="5" t="s">
        <v>44</v>
      </c>
      <c r="B31" s="6" t="s">
        <v>63</v>
      </c>
      <c r="C31" s="1" t="s">
        <v>657</v>
      </c>
      <c r="D31" s="21" t="str">
        <f>_xlfn.IFNA(VLOOKUP(A31,'[1]Validacion CPUs'!C:H,6,FALSE),_xlfn.IFNA(VLOOKUP(A31,'[1]Validacion TP'!A:H,8,FALSE),VLOOKUP(A31,'[1]Validacion UPS'!A:H,8,FALSE)))</f>
        <v>COMPUTADORA DE ESCRITORIO</v>
      </c>
    </row>
    <row r="32" spans="1:4" x14ac:dyDescent="0.3">
      <c r="A32" s="2" t="s">
        <v>45</v>
      </c>
      <c r="B32" s="3" t="s">
        <v>63</v>
      </c>
      <c r="C32" s="1" t="s">
        <v>657</v>
      </c>
      <c r="D32" s="21" t="str">
        <f>_xlfn.IFNA(VLOOKUP(A32,'[1]Validacion CPUs'!C:H,6,FALSE),_xlfn.IFNA(VLOOKUP(A32,'[1]Validacion TP'!A:H,8,FALSE),VLOOKUP(A32,'[1]Validacion UPS'!A:H,8,FALSE)))</f>
        <v>IMPRESORA TERMICA</v>
      </c>
    </row>
    <row r="33" spans="1:4" x14ac:dyDescent="0.3">
      <c r="A33" s="5" t="s">
        <v>48</v>
      </c>
      <c r="B33" s="6" t="s">
        <v>64</v>
      </c>
      <c r="C33" s="1" t="s">
        <v>652</v>
      </c>
      <c r="D33" s="21" t="str">
        <f>_xlfn.IFNA(VLOOKUP(A33,'[1]Validacion CPUs'!C:H,6,FALSE),_xlfn.IFNA(VLOOKUP(A33,'[1]Validacion TP'!A:H,8,FALSE),VLOOKUP(A33,'[1]Validacion UPS'!A:H,8,FALSE)))</f>
        <v>UPS</v>
      </c>
    </row>
    <row r="34" spans="1:4" x14ac:dyDescent="0.3">
      <c r="A34" s="2" t="s">
        <v>50</v>
      </c>
      <c r="B34" s="3" t="s">
        <v>65</v>
      </c>
      <c r="C34" s="1" t="s">
        <v>657</v>
      </c>
      <c r="D34" s="21" t="str">
        <f>_xlfn.IFNA(VLOOKUP(A34,'[1]Validacion CPUs'!C:H,6,FALSE),_xlfn.IFNA(VLOOKUP(A34,'[1]Validacion TP'!A:H,8,FALSE),VLOOKUP(A34,'[1]Validacion UPS'!A:H,8,FALSE)))</f>
        <v>IMPRESORA TERMICA</v>
      </c>
    </row>
    <row r="35" spans="1:4" x14ac:dyDescent="0.3">
      <c r="A35" s="2" t="s">
        <v>49</v>
      </c>
      <c r="B35" s="4" t="s">
        <v>65</v>
      </c>
      <c r="C35" s="1" t="s">
        <v>657</v>
      </c>
      <c r="D35" s="21" t="str">
        <f>_xlfn.IFNA(VLOOKUP(A35,'[1]Validacion CPUs'!C:H,6,FALSE),_xlfn.IFNA(VLOOKUP(A35,'[1]Validacion TP'!A:H,8,FALSE),VLOOKUP(A35,'[1]Validacion UPS'!A:H,8,FALSE)))</f>
        <v>COMPUTADORA DE ESCRITORIO</v>
      </c>
    </row>
    <row r="36" spans="1:4" x14ac:dyDescent="0.3">
      <c r="A36" s="5" t="s">
        <v>51</v>
      </c>
      <c r="B36" s="6" t="s">
        <v>65</v>
      </c>
      <c r="C36" s="1" t="s">
        <v>657</v>
      </c>
      <c r="D36" s="21" t="str">
        <f>_xlfn.IFNA(VLOOKUP(A36,'[1]Validacion CPUs'!C:H,6,FALSE),_xlfn.IFNA(VLOOKUP(A36,'[1]Validacion TP'!A:H,8,FALSE),VLOOKUP(A36,'[1]Validacion UPS'!A:H,8,FALSE)))</f>
        <v>UPS</v>
      </c>
    </row>
    <row r="37" spans="1:4" x14ac:dyDescent="0.3">
      <c r="A37" s="9" t="s">
        <v>616</v>
      </c>
      <c r="B37" s="3" t="s">
        <v>67</v>
      </c>
      <c r="C37" s="1" t="s">
        <v>657</v>
      </c>
      <c r="D37" s="21" t="str">
        <f>_xlfn.IFNA(VLOOKUP(A37,'[1]Validacion CPUs'!C:H,6,FALSE),_xlfn.IFNA(VLOOKUP(A37,'[1]Validacion TP'!A:H,8,FALSE),VLOOKUP(A37,'[1]Validacion UPS'!A:H,8,FALSE)))</f>
        <v>IMPRESORA TERMICA</v>
      </c>
    </row>
    <row r="38" spans="1:4" x14ac:dyDescent="0.3">
      <c r="A38" s="5" t="s">
        <v>53</v>
      </c>
      <c r="B38" s="6" t="s">
        <v>67</v>
      </c>
      <c r="C38" s="1" t="s">
        <v>657</v>
      </c>
      <c r="D38" s="21" t="str">
        <f>_xlfn.IFNA(VLOOKUP(A38,'[1]Validacion CPUs'!C:H,6,FALSE),_xlfn.IFNA(VLOOKUP(A38,'[1]Validacion TP'!A:H,8,FALSE),VLOOKUP(A38,'[1]Validacion UPS'!A:H,8,FALSE)))</f>
        <v>UPS</v>
      </c>
    </row>
    <row r="39" spans="1:4" x14ac:dyDescent="0.3">
      <c r="A39" s="2" t="s">
        <v>66</v>
      </c>
      <c r="B39" s="4" t="s">
        <v>67</v>
      </c>
      <c r="C39" s="1" t="s">
        <v>657</v>
      </c>
      <c r="D39" s="21" t="str">
        <f>_xlfn.IFNA(VLOOKUP(A39,'[1]Validacion CPUs'!C:H,6,FALSE),_xlfn.IFNA(VLOOKUP(A39,'[1]Validacion TP'!A:H,8,FALSE),VLOOKUP(A39,'[1]Validacion UPS'!A:H,8,FALSE)))</f>
        <v>COMPUTADORA DE ESCRITORIO</v>
      </c>
    </row>
    <row r="40" spans="1:4" x14ac:dyDescent="0.3">
      <c r="A40" s="5" t="s">
        <v>602</v>
      </c>
      <c r="B40" s="6" t="s">
        <v>658</v>
      </c>
      <c r="C40" s="1" t="s">
        <v>652</v>
      </c>
      <c r="D40" s="21" t="str">
        <f>_xlfn.IFNA(VLOOKUP(A40,'[1]Validacion CPUs'!C:H,6,FALSE),_xlfn.IFNA(VLOOKUP(A40,'[1]Validacion TP'!A:H,8,FALSE),VLOOKUP(A40,'[1]Validacion UPS'!A:H,8,FALSE)))</f>
        <v>UPS</v>
      </c>
    </row>
    <row r="41" spans="1:4" x14ac:dyDescent="0.3">
      <c r="A41" s="2" t="s">
        <v>58</v>
      </c>
      <c r="B41" s="3" t="s">
        <v>70</v>
      </c>
      <c r="C41" s="1" t="s">
        <v>657</v>
      </c>
      <c r="D41" s="21" t="str">
        <f>_xlfn.IFNA(VLOOKUP(A41,'[1]Validacion CPUs'!C:H,6,FALSE),_xlfn.IFNA(VLOOKUP(A41,'[1]Validacion TP'!A:H,8,FALSE),VLOOKUP(A41,'[1]Validacion UPS'!A:H,8,FALSE)))</f>
        <v>UPS</v>
      </c>
    </row>
    <row r="42" spans="1:4" x14ac:dyDescent="0.3">
      <c r="A42" s="2" t="s">
        <v>57</v>
      </c>
      <c r="B42" s="4" t="s">
        <v>70</v>
      </c>
      <c r="C42" s="1" t="s">
        <v>657</v>
      </c>
      <c r="D42" s="21" t="str">
        <f>_xlfn.IFNA(VLOOKUP(A42,'[1]Validacion CPUs'!C:H,6,FALSE),_xlfn.IFNA(VLOOKUP(A42,'[1]Validacion TP'!A:H,8,FALSE),VLOOKUP(A42,'[1]Validacion UPS'!A:H,8,FALSE)))</f>
        <v>COMPUTADORA DE ESCRITORIO</v>
      </c>
    </row>
    <row r="43" spans="1:4" x14ac:dyDescent="0.3">
      <c r="A43" s="2" t="s">
        <v>630</v>
      </c>
      <c r="B43" s="3" t="s">
        <v>71</v>
      </c>
      <c r="C43" s="1" t="s">
        <v>657</v>
      </c>
      <c r="D43" s="21" t="str">
        <f>_xlfn.IFNA(VLOOKUP(A43,'[1]Validacion CPUs'!C:H,6,FALSE),_xlfn.IFNA(VLOOKUP(A43,'[1]Validacion TP'!A:H,8,FALSE),VLOOKUP(A43,'[1]Validacion UPS'!A:H,8,FALSE)))</f>
        <v>COMPUTADORA DE ESCRITORIO</v>
      </c>
    </row>
    <row r="44" spans="1:4" x14ac:dyDescent="0.3">
      <c r="A44" s="5" t="s">
        <v>60</v>
      </c>
      <c r="B44" s="6" t="s">
        <v>71</v>
      </c>
      <c r="C44" s="1" t="s">
        <v>657</v>
      </c>
      <c r="D44" s="21" t="str">
        <f>_xlfn.IFNA(VLOOKUP(A44,'[1]Validacion CPUs'!C:H,6,FALSE),_xlfn.IFNA(VLOOKUP(A44,'[1]Validacion TP'!A:H,8,FALSE),VLOOKUP(A44,'[1]Validacion UPS'!A:H,8,FALSE)))</f>
        <v>UPS</v>
      </c>
    </row>
    <row r="45" spans="1:4" x14ac:dyDescent="0.3">
      <c r="A45" s="5" t="s">
        <v>73</v>
      </c>
      <c r="B45" s="6" t="s">
        <v>72</v>
      </c>
      <c r="C45" s="1" t="s">
        <v>657</v>
      </c>
      <c r="D45" s="21" t="str">
        <f>_xlfn.IFNA(VLOOKUP(A45,'[1]Validacion CPUs'!C:H,6,FALSE),_xlfn.IFNA(VLOOKUP(A45,'[1]Validacion TP'!A:H,8,FALSE),VLOOKUP(A45,'[1]Validacion UPS'!A:H,8,FALSE)))</f>
        <v>IMPRESORA TERMICA</v>
      </c>
    </row>
    <row r="46" spans="1:4" x14ac:dyDescent="0.3">
      <c r="A46" s="5" t="s">
        <v>74</v>
      </c>
      <c r="B46" s="6" t="s">
        <v>72</v>
      </c>
      <c r="C46" s="1" t="s">
        <v>657</v>
      </c>
      <c r="D46" s="21" t="str">
        <f>_xlfn.IFNA(VLOOKUP(A46,'[1]Validacion CPUs'!C:H,6,FALSE),_xlfn.IFNA(VLOOKUP(A46,'[1]Validacion TP'!A:H,8,FALSE),VLOOKUP(A46,'[1]Validacion UPS'!A:H,8,FALSE)))</f>
        <v>UPS</v>
      </c>
    </row>
    <row r="47" spans="1:4" x14ac:dyDescent="0.3">
      <c r="A47" s="2" t="s">
        <v>61</v>
      </c>
      <c r="B47" s="3" t="s">
        <v>72</v>
      </c>
      <c r="C47" s="1" t="s">
        <v>657</v>
      </c>
      <c r="D47" s="21" t="str">
        <f>_xlfn.IFNA(VLOOKUP(A47,'[1]Validacion CPUs'!C:H,6,FALSE),_xlfn.IFNA(VLOOKUP(A47,'[1]Validacion TP'!A:H,8,FALSE),VLOOKUP(A47,'[1]Validacion UPS'!A:H,8,FALSE)))</f>
        <v>COMPUTADORA DE ESCRITORIO</v>
      </c>
    </row>
    <row r="48" spans="1:4" x14ac:dyDescent="0.3">
      <c r="A48" s="2" t="s">
        <v>76</v>
      </c>
      <c r="B48" s="3" t="s">
        <v>97</v>
      </c>
      <c r="C48" s="1" t="s">
        <v>657</v>
      </c>
      <c r="D48" s="21" t="str">
        <f>_xlfn.IFNA(VLOOKUP(A48,'[1]Validacion CPUs'!C:H,6,FALSE),_xlfn.IFNA(VLOOKUP(A48,'[1]Validacion TP'!A:H,8,FALSE),VLOOKUP(A48,'[1]Validacion UPS'!A:H,8,FALSE)))</f>
        <v>IMPRESORA TERMICA</v>
      </c>
    </row>
    <row r="49" spans="1:4" x14ac:dyDescent="0.3">
      <c r="A49" s="5" t="s">
        <v>77</v>
      </c>
      <c r="B49" s="6" t="s">
        <v>97</v>
      </c>
      <c r="C49" s="1" t="s">
        <v>657</v>
      </c>
      <c r="D49" s="21" t="str">
        <f>_xlfn.IFNA(VLOOKUP(A49,'[1]Validacion CPUs'!C:H,6,FALSE),_xlfn.IFNA(VLOOKUP(A49,'[1]Validacion TP'!A:H,8,FALSE),VLOOKUP(A49,'[1]Validacion UPS'!A:H,8,FALSE)))</f>
        <v>UPS</v>
      </c>
    </row>
    <row r="50" spans="1:4" x14ac:dyDescent="0.3">
      <c r="A50" s="2" t="s">
        <v>590</v>
      </c>
      <c r="B50" s="4" t="s">
        <v>97</v>
      </c>
      <c r="C50" s="1" t="s">
        <v>657</v>
      </c>
      <c r="D50" s="21" t="str">
        <f>_xlfn.IFNA(VLOOKUP(A50,'[1]Validacion CPUs'!C:H,6,FALSE),_xlfn.IFNA(VLOOKUP(A50,'[1]Validacion TP'!A:H,8,FALSE),VLOOKUP(A50,'[1]Validacion UPS'!A:H,8,FALSE)))</f>
        <v>COMPUTADORA DE ESCRITORIO</v>
      </c>
    </row>
    <row r="51" spans="1:4" x14ac:dyDescent="0.3">
      <c r="A51" s="5" t="s">
        <v>79</v>
      </c>
      <c r="B51" s="6" t="s">
        <v>98</v>
      </c>
      <c r="C51" s="1" t="s">
        <v>657</v>
      </c>
      <c r="D51" s="21" t="str">
        <f>_xlfn.IFNA(VLOOKUP(A51,'[1]Validacion CPUs'!C:H,6,FALSE),_xlfn.IFNA(VLOOKUP(A51,'[1]Validacion TP'!A:H,8,FALSE),VLOOKUP(A51,'[1]Validacion UPS'!A:H,8,FALSE)))</f>
        <v>IMPRESORA TERMICA</v>
      </c>
    </row>
    <row r="52" spans="1:4" x14ac:dyDescent="0.3">
      <c r="A52" s="2" t="s">
        <v>80</v>
      </c>
      <c r="B52" s="3" t="s">
        <v>98</v>
      </c>
      <c r="C52" s="1" t="s">
        <v>657</v>
      </c>
      <c r="D52" s="21" t="str">
        <f>_xlfn.IFNA(VLOOKUP(A52,'[1]Validacion CPUs'!C:H,6,FALSE),_xlfn.IFNA(VLOOKUP(A52,'[1]Validacion TP'!A:H,8,FALSE),VLOOKUP(A52,'[1]Validacion UPS'!A:H,8,FALSE)))</f>
        <v>UPS</v>
      </c>
    </row>
    <row r="53" spans="1:4" x14ac:dyDescent="0.3">
      <c r="A53" s="2" t="s">
        <v>636</v>
      </c>
      <c r="B53" s="4" t="s">
        <v>98</v>
      </c>
      <c r="C53" s="1" t="s">
        <v>657</v>
      </c>
      <c r="D53" s="21" t="str">
        <f>_xlfn.IFNA(VLOOKUP(A53,'[1]Validacion CPUs'!C:H,6,FALSE),_xlfn.IFNA(VLOOKUP(A53,'[1]Validacion TP'!A:H,8,FALSE),VLOOKUP(A53,'[1]Validacion UPS'!A:H,8,FALSE)))</f>
        <v>COMPUTADORA DE ESCRITORIO</v>
      </c>
    </row>
    <row r="54" spans="1:4" x14ac:dyDescent="0.3">
      <c r="A54" s="5" t="s">
        <v>588</v>
      </c>
      <c r="B54" s="6" t="s">
        <v>659</v>
      </c>
      <c r="C54" s="1" t="s">
        <v>657</v>
      </c>
      <c r="D54" s="21" t="str">
        <f>_xlfn.IFNA(VLOOKUP(A54,'[1]Validacion CPUs'!C:H,6,FALSE),_xlfn.IFNA(VLOOKUP(A54,'[1]Validacion TP'!A:H,8,FALSE),VLOOKUP(A54,'[1]Validacion UPS'!A:H,8,FALSE)))</f>
        <v>COMPUTADORA DE ESCRITORIO</v>
      </c>
    </row>
    <row r="55" spans="1:4" x14ac:dyDescent="0.3">
      <c r="A55" s="2" t="s">
        <v>82</v>
      </c>
      <c r="B55" s="3" t="s">
        <v>659</v>
      </c>
      <c r="C55" s="1" t="s">
        <v>657</v>
      </c>
      <c r="D55" s="21" t="str">
        <f>_xlfn.IFNA(VLOOKUP(A55,'[1]Validacion CPUs'!C:H,6,FALSE),_xlfn.IFNA(VLOOKUP(A55,'[1]Validacion TP'!A:H,8,FALSE),VLOOKUP(A55,'[1]Validacion UPS'!A:H,8,FALSE)))</f>
        <v>UPS</v>
      </c>
    </row>
    <row r="56" spans="1:4" x14ac:dyDescent="0.3">
      <c r="A56" s="5" t="s">
        <v>660</v>
      </c>
      <c r="B56" s="12" t="s">
        <v>661</v>
      </c>
      <c r="C56" s="1" t="s">
        <v>651</v>
      </c>
      <c r="D56" s="21" t="str">
        <f>_xlfn.IFNA(VLOOKUP(A56,'[1]Validacion CPUs'!C:H,6,FALSE),_xlfn.IFNA(VLOOKUP(A56,'[1]Validacion TP'!A:H,8,FALSE),VLOOKUP(A56,'[1]Validacion UPS'!A:H,8,FALSE)))</f>
        <v>UPS</v>
      </c>
    </row>
    <row r="57" spans="1:4" x14ac:dyDescent="0.3">
      <c r="A57" s="5" t="s">
        <v>83</v>
      </c>
      <c r="B57" s="6" t="s">
        <v>661</v>
      </c>
      <c r="C57" s="1" t="s">
        <v>651</v>
      </c>
      <c r="D57" s="21" t="str">
        <f>_xlfn.IFNA(VLOOKUP(A57,'[1]Validacion CPUs'!C:H,6,FALSE),_xlfn.IFNA(VLOOKUP(A57,'[1]Validacion TP'!A:H,8,FALSE),VLOOKUP(A57,'[1]Validacion UPS'!A:H,8,FALSE)))</f>
        <v>COMPUTADORA DE ESCRITORIO</v>
      </c>
    </row>
    <row r="58" spans="1:4" x14ac:dyDescent="0.3">
      <c r="A58" s="2" t="s">
        <v>86</v>
      </c>
      <c r="B58" s="3" t="s">
        <v>100</v>
      </c>
      <c r="C58" s="1" t="s">
        <v>657</v>
      </c>
      <c r="D58" s="21" t="str">
        <f>_xlfn.IFNA(VLOOKUP(A58,'[1]Validacion CPUs'!C:H,6,FALSE),_xlfn.IFNA(VLOOKUP(A58,'[1]Validacion TP'!A:H,8,FALSE),VLOOKUP(A58,'[1]Validacion UPS'!A:H,8,FALSE)))</f>
        <v>IMPRESORA TERMICA</v>
      </c>
    </row>
    <row r="59" spans="1:4" x14ac:dyDescent="0.3">
      <c r="A59" s="8" t="s">
        <v>85</v>
      </c>
      <c r="B59" s="12" t="s">
        <v>100</v>
      </c>
      <c r="C59" s="1" t="s">
        <v>657</v>
      </c>
      <c r="D59" s="21" t="str">
        <f>_xlfn.IFNA(VLOOKUP(A59,'[1]Validacion CPUs'!C:H,6,FALSE),_xlfn.IFNA(VLOOKUP(A59,'[1]Validacion TP'!A:H,8,FALSE),VLOOKUP(A59,'[1]Validacion UPS'!A:H,8,FALSE)))</f>
        <v>COMPUTADORA DE ESCRITORIO</v>
      </c>
    </row>
    <row r="60" spans="1:4" x14ac:dyDescent="0.3">
      <c r="A60" s="5" t="s">
        <v>87</v>
      </c>
      <c r="B60" s="6" t="s">
        <v>100</v>
      </c>
      <c r="C60" s="1" t="s">
        <v>657</v>
      </c>
      <c r="D60" s="21" t="str">
        <f>_xlfn.IFNA(VLOOKUP(A60,'[1]Validacion CPUs'!C:H,6,FALSE),_xlfn.IFNA(VLOOKUP(A60,'[1]Validacion TP'!A:H,8,FALSE),VLOOKUP(A60,'[1]Validacion UPS'!A:H,8,FALSE)))</f>
        <v>UPS</v>
      </c>
    </row>
    <row r="61" spans="1:4" x14ac:dyDescent="0.3">
      <c r="A61" s="2" t="s">
        <v>89</v>
      </c>
      <c r="B61" s="3" t="s">
        <v>101</v>
      </c>
      <c r="C61" s="1" t="s">
        <v>657</v>
      </c>
      <c r="D61" s="21" t="str">
        <f>_xlfn.IFNA(VLOOKUP(A61,'[1]Validacion CPUs'!C:H,6,FALSE),_xlfn.IFNA(VLOOKUP(A61,'[1]Validacion TP'!A:H,8,FALSE),VLOOKUP(A61,'[1]Validacion UPS'!A:H,8,FALSE)))</f>
        <v>IMPRESORA TERMICA</v>
      </c>
    </row>
    <row r="62" spans="1:4" x14ac:dyDescent="0.3">
      <c r="A62" s="2" t="s">
        <v>635</v>
      </c>
      <c r="B62" s="4" t="s">
        <v>101</v>
      </c>
      <c r="C62" s="1" t="s">
        <v>657</v>
      </c>
      <c r="D62" s="21" t="str">
        <f>_xlfn.IFNA(VLOOKUP(A62,'[1]Validacion CPUs'!C:H,6,FALSE),_xlfn.IFNA(VLOOKUP(A62,'[1]Validacion TP'!A:H,8,FALSE),VLOOKUP(A62,'[1]Validacion UPS'!A:H,8,FALSE)))</f>
        <v>COMPUTADORA DE ESCRITORIO</v>
      </c>
    </row>
    <row r="63" spans="1:4" x14ac:dyDescent="0.3">
      <c r="A63" s="5" t="s">
        <v>90</v>
      </c>
      <c r="B63" s="6" t="s">
        <v>101</v>
      </c>
      <c r="C63" s="1" t="s">
        <v>657</v>
      </c>
      <c r="D63" s="21" t="str">
        <f>_xlfn.IFNA(VLOOKUP(A63,'[1]Validacion CPUs'!C:H,6,FALSE),_xlfn.IFNA(VLOOKUP(A63,'[1]Validacion TP'!A:H,8,FALSE),VLOOKUP(A63,'[1]Validacion UPS'!A:H,8,FALSE)))</f>
        <v>UPS</v>
      </c>
    </row>
    <row r="64" spans="1:4" x14ac:dyDescent="0.3">
      <c r="A64" s="2" t="s">
        <v>92</v>
      </c>
      <c r="B64" s="3" t="s">
        <v>102</v>
      </c>
      <c r="C64" s="1" t="s">
        <v>657</v>
      </c>
      <c r="D64" s="21" t="str">
        <f>_xlfn.IFNA(VLOOKUP(A64,'[1]Validacion CPUs'!C:H,6,FALSE),_xlfn.IFNA(VLOOKUP(A64,'[1]Validacion TP'!A:H,8,FALSE),VLOOKUP(A64,'[1]Validacion UPS'!A:H,8,FALSE)))</f>
        <v>IMPRESORA TERMICA</v>
      </c>
    </row>
    <row r="65" spans="1:4" x14ac:dyDescent="0.3">
      <c r="A65" s="2" t="s">
        <v>93</v>
      </c>
      <c r="B65" s="4" t="s">
        <v>102</v>
      </c>
      <c r="C65" s="1" t="s">
        <v>657</v>
      </c>
      <c r="D65" s="21" t="str">
        <f>_xlfn.IFNA(VLOOKUP(A65,'[1]Validacion CPUs'!C:H,6,FALSE),_xlfn.IFNA(VLOOKUP(A65,'[1]Validacion TP'!A:H,8,FALSE),VLOOKUP(A65,'[1]Validacion UPS'!A:H,8,FALSE)))</f>
        <v>UPS</v>
      </c>
    </row>
    <row r="66" spans="1:4" x14ac:dyDescent="0.3">
      <c r="A66" s="2" t="s">
        <v>91</v>
      </c>
      <c r="B66" s="3" t="s">
        <v>102</v>
      </c>
      <c r="C66" s="1" t="s">
        <v>657</v>
      </c>
      <c r="D66" s="21" t="str">
        <f>_xlfn.IFNA(VLOOKUP(A66,'[1]Validacion CPUs'!C:H,6,FALSE),_xlfn.IFNA(VLOOKUP(A66,'[1]Validacion TP'!A:H,8,FALSE),VLOOKUP(A66,'[1]Validacion UPS'!A:H,8,FALSE)))</f>
        <v>COMPUTADORA DE ESCRITORIO</v>
      </c>
    </row>
    <row r="67" spans="1:4" x14ac:dyDescent="0.3">
      <c r="A67" s="5" t="s">
        <v>94</v>
      </c>
      <c r="B67" s="6" t="s">
        <v>662</v>
      </c>
      <c r="C67" s="1" t="s">
        <v>652</v>
      </c>
      <c r="D67" s="21" t="str">
        <f>_xlfn.IFNA(VLOOKUP(A67,'[1]Validacion CPUs'!C:H,6,FALSE),_xlfn.IFNA(VLOOKUP(A67,'[1]Validacion TP'!A:H,8,FALSE),VLOOKUP(A67,'[1]Validacion UPS'!A:H,8,FALSE)))</f>
        <v>COMPUTADORA DE ESCRITORIO</v>
      </c>
    </row>
    <row r="68" spans="1:4" x14ac:dyDescent="0.3">
      <c r="A68" s="2" t="s">
        <v>95</v>
      </c>
      <c r="B68" s="4" t="s">
        <v>662</v>
      </c>
      <c r="C68" s="1" t="s">
        <v>652</v>
      </c>
      <c r="D68" s="21" t="str">
        <f>_xlfn.IFNA(VLOOKUP(A68,'[1]Validacion CPUs'!C:H,6,FALSE),_xlfn.IFNA(VLOOKUP(A68,'[1]Validacion TP'!A:H,8,FALSE),VLOOKUP(A68,'[1]Validacion UPS'!A:H,8,FALSE)))</f>
        <v>UPS</v>
      </c>
    </row>
    <row r="69" spans="1:4" x14ac:dyDescent="0.3">
      <c r="A69" s="5" t="s">
        <v>105</v>
      </c>
      <c r="B69" s="12" t="s">
        <v>104</v>
      </c>
      <c r="C69" s="1" t="s">
        <v>652</v>
      </c>
      <c r="D69" s="21" t="str">
        <f>_xlfn.IFNA(VLOOKUP(A69,'[1]Validacion CPUs'!C:H,6,FALSE),_xlfn.IFNA(VLOOKUP(A69,'[1]Validacion TP'!A:H,8,FALSE),VLOOKUP(A69,'[1]Validacion UPS'!A:H,8,FALSE)))</f>
        <v>UPS</v>
      </c>
    </row>
    <row r="70" spans="1:4" x14ac:dyDescent="0.3">
      <c r="A70" s="2" t="s">
        <v>96</v>
      </c>
      <c r="B70" s="3" t="s">
        <v>104</v>
      </c>
      <c r="C70" s="1" t="s">
        <v>652</v>
      </c>
      <c r="D70" s="21" t="str">
        <f>_xlfn.IFNA(VLOOKUP(A70,'[1]Validacion CPUs'!C:H,6,FALSE),_xlfn.IFNA(VLOOKUP(A70,'[1]Validacion TP'!A:H,8,FALSE),VLOOKUP(A70,'[1]Validacion UPS'!A:H,8,FALSE)))</f>
        <v>COMPUTADORA DE ESCRITORIO</v>
      </c>
    </row>
    <row r="71" spans="1:4" x14ac:dyDescent="0.3">
      <c r="A71" s="2" t="s">
        <v>107</v>
      </c>
      <c r="B71" s="4" t="s">
        <v>129</v>
      </c>
      <c r="C71" s="1" t="s">
        <v>657</v>
      </c>
      <c r="D71" s="21" t="str">
        <f>_xlfn.IFNA(VLOOKUP(A71,'[1]Validacion CPUs'!C:H,6,FALSE),_xlfn.IFNA(VLOOKUP(A71,'[1]Validacion TP'!A:H,8,FALSE),VLOOKUP(A71,'[1]Validacion UPS'!A:H,8,FALSE)))</f>
        <v>IMPRESORA TERMICA</v>
      </c>
    </row>
    <row r="72" spans="1:4" ht="28.8" x14ac:dyDescent="0.3">
      <c r="A72" s="5" t="s">
        <v>106</v>
      </c>
      <c r="B72" s="6" t="s">
        <v>129</v>
      </c>
      <c r="C72" s="1" t="s">
        <v>657</v>
      </c>
      <c r="D72" s="21" t="str">
        <f>_xlfn.IFNA(VLOOKUP(A72,'[1]Validacion CPUs'!C:H,6,FALSE),_xlfn.IFNA(VLOOKUP(A72,'[1]Validacion TP'!A:H,8,FALSE),VLOOKUP(A72,'[1]Validacion UPS'!A:H,8,FALSE)))</f>
        <v>COMPUTADORA DE ESCRITORIO</v>
      </c>
    </row>
    <row r="73" spans="1:4" x14ac:dyDescent="0.3">
      <c r="A73" s="13" t="s">
        <v>108</v>
      </c>
      <c r="B73" t="s">
        <v>129</v>
      </c>
      <c r="C73" t="s">
        <v>657</v>
      </c>
      <c r="D73" s="21" t="str">
        <f>_xlfn.IFNA(VLOOKUP(A73,'[1]Validacion CPUs'!C:H,6,FALSE),_xlfn.IFNA(VLOOKUP(A73,'[1]Validacion TP'!A:H,8,FALSE),VLOOKUP(A73,'[1]Validacion UPS'!A:H,8,FALSE)))</f>
        <v>UPS</v>
      </c>
    </row>
    <row r="74" spans="1:4" x14ac:dyDescent="0.3">
      <c r="A74" s="13" t="s">
        <v>110</v>
      </c>
      <c r="B74" t="s">
        <v>130</v>
      </c>
      <c r="C74" t="s">
        <v>652</v>
      </c>
      <c r="D74" s="21" t="str">
        <f>_xlfn.IFNA(VLOOKUP(A74,'[1]Validacion CPUs'!C:H,6,FALSE),_xlfn.IFNA(VLOOKUP(A74,'[1]Validacion TP'!A:H,8,FALSE),VLOOKUP(A74,'[1]Validacion UPS'!A:H,8,FALSE)))</f>
        <v>UPS</v>
      </c>
    </row>
    <row r="75" spans="1:4" x14ac:dyDescent="0.3">
      <c r="A75" s="13" t="s">
        <v>109</v>
      </c>
      <c r="B75" t="s">
        <v>130</v>
      </c>
      <c r="C75" t="s">
        <v>652</v>
      </c>
      <c r="D75" s="21" t="str">
        <f>_xlfn.IFNA(VLOOKUP(A75,'[1]Validacion CPUs'!C:H,6,FALSE),_xlfn.IFNA(VLOOKUP(A75,'[1]Validacion TP'!A:H,8,FALSE),VLOOKUP(A75,'[1]Validacion UPS'!A:H,8,FALSE)))</f>
        <v>COMPUTADORA DE ESCRITORIO</v>
      </c>
    </row>
    <row r="76" spans="1:4" x14ac:dyDescent="0.3">
      <c r="A76" s="13" t="s">
        <v>621</v>
      </c>
      <c r="B76" t="s">
        <v>131</v>
      </c>
      <c r="C76" t="s">
        <v>657</v>
      </c>
      <c r="D76" s="21" t="str">
        <f>_xlfn.IFNA(VLOOKUP(A76,'[1]Validacion CPUs'!C:H,6,FALSE),_xlfn.IFNA(VLOOKUP(A76,'[1]Validacion TP'!A:H,8,FALSE),VLOOKUP(A76,'[1]Validacion UPS'!A:H,8,FALSE)))</f>
        <v>COMPUTADORA DE ESCRITORIO</v>
      </c>
    </row>
    <row r="77" spans="1:4" x14ac:dyDescent="0.3">
      <c r="A77" s="13" t="s">
        <v>112</v>
      </c>
      <c r="B77" t="s">
        <v>131</v>
      </c>
      <c r="C77" t="s">
        <v>657</v>
      </c>
      <c r="D77" s="21" t="str">
        <f>_xlfn.IFNA(VLOOKUP(A77,'[1]Validacion CPUs'!C:H,6,FALSE),_xlfn.IFNA(VLOOKUP(A77,'[1]Validacion TP'!A:H,8,FALSE),VLOOKUP(A77,'[1]Validacion UPS'!A:H,8,FALSE)))</f>
        <v>UPS</v>
      </c>
    </row>
    <row r="78" spans="1:4" x14ac:dyDescent="0.3">
      <c r="A78" s="13" t="s">
        <v>607</v>
      </c>
      <c r="B78" t="s">
        <v>132</v>
      </c>
      <c r="C78" t="s">
        <v>657</v>
      </c>
      <c r="D78" s="21" t="str">
        <f>_xlfn.IFNA(VLOOKUP(A78,'[1]Validacion CPUs'!C:H,6,FALSE),_xlfn.IFNA(VLOOKUP(A78,'[1]Validacion TP'!A:H,8,FALSE),VLOOKUP(A78,'[1]Validacion UPS'!A:H,8,FALSE)))</f>
        <v>COMPUTADORA DE ESCRITORIO</v>
      </c>
    </row>
    <row r="79" spans="1:4" x14ac:dyDescent="0.3">
      <c r="A79" s="13" t="s">
        <v>114</v>
      </c>
      <c r="B79" t="s">
        <v>132</v>
      </c>
      <c r="C79" t="s">
        <v>657</v>
      </c>
      <c r="D79" s="21" t="str">
        <f>_xlfn.IFNA(VLOOKUP(A79,'[1]Validacion CPUs'!C:H,6,FALSE),_xlfn.IFNA(VLOOKUP(A79,'[1]Validacion TP'!A:H,8,FALSE),VLOOKUP(A79,'[1]Validacion UPS'!A:H,8,FALSE)))</f>
        <v>UPS</v>
      </c>
    </row>
    <row r="80" spans="1:4" x14ac:dyDescent="0.3">
      <c r="A80" s="13" t="s">
        <v>52</v>
      </c>
      <c r="B80" t="s">
        <v>133</v>
      </c>
      <c r="C80" t="s">
        <v>652</v>
      </c>
      <c r="D80" s="21" t="str">
        <f>_xlfn.IFNA(VLOOKUP(A80,'[1]Validacion CPUs'!C:H,6,FALSE),_xlfn.IFNA(VLOOKUP(A80,'[1]Validacion TP'!A:H,8,FALSE),VLOOKUP(A80,'[1]Validacion UPS'!A:H,8,FALSE)))</f>
        <v>IMPRESORA TERMICA</v>
      </c>
    </row>
    <row r="81" spans="1:4" x14ac:dyDescent="0.3">
      <c r="A81" s="13" t="s">
        <v>116</v>
      </c>
      <c r="B81" t="s">
        <v>133</v>
      </c>
      <c r="C81" t="s">
        <v>652</v>
      </c>
      <c r="D81" s="21" t="str">
        <f>_xlfn.IFNA(VLOOKUP(A81,'[1]Validacion CPUs'!C:H,6,FALSE),_xlfn.IFNA(VLOOKUP(A81,'[1]Validacion TP'!A:H,8,FALSE),VLOOKUP(A81,'[1]Validacion UPS'!A:H,8,FALSE)))</f>
        <v>UPS</v>
      </c>
    </row>
    <row r="82" spans="1:4" x14ac:dyDescent="0.3">
      <c r="A82" s="13" t="s">
        <v>117</v>
      </c>
      <c r="B82" t="s">
        <v>134</v>
      </c>
      <c r="C82" t="s">
        <v>652</v>
      </c>
      <c r="D82" s="21" t="str">
        <f>_xlfn.IFNA(VLOOKUP(A82,'[1]Validacion CPUs'!C:H,6,FALSE),_xlfn.IFNA(VLOOKUP(A82,'[1]Validacion TP'!A:H,8,FALSE),VLOOKUP(A82,'[1]Validacion UPS'!A:H,8,FALSE)))</f>
        <v>COMPUTADORA DE ESCRITORIO</v>
      </c>
    </row>
    <row r="83" spans="1:4" x14ac:dyDescent="0.3">
      <c r="A83" s="13" t="s">
        <v>118</v>
      </c>
      <c r="B83" t="s">
        <v>134</v>
      </c>
      <c r="C83" t="s">
        <v>652</v>
      </c>
      <c r="D83" s="21" t="str">
        <f>_xlfn.IFNA(VLOOKUP(A83,'[1]Validacion CPUs'!C:H,6,FALSE),_xlfn.IFNA(VLOOKUP(A83,'[1]Validacion TP'!A:H,8,FALSE),VLOOKUP(A83,'[1]Validacion UPS'!A:H,8,FALSE)))</f>
        <v>UPS</v>
      </c>
    </row>
    <row r="84" spans="1:4" x14ac:dyDescent="0.3">
      <c r="A84" s="13" t="s">
        <v>128</v>
      </c>
      <c r="B84" t="s">
        <v>139</v>
      </c>
      <c r="C84" t="s">
        <v>651</v>
      </c>
      <c r="D84" s="21" t="str">
        <f>_xlfn.IFNA(VLOOKUP(A84,'[1]Validacion CPUs'!C:H,6,FALSE),_xlfn.IFNA(VLOOKUP(A84,'[1]Validacion TP'!A:H,8,FALSE),VLOOKUP(A84,'[1]Validacion UPS'!A:H,8,FALSE)))</f>
        <v>UPS</v>
      </c>
    </row>
    <row r="85" spans="1:4" x14ac:dyDescent="0.3">
      <c r="A85" s="13" t="s">
        <v>142</v>
      </c>
      <c r="B85" t="s">
        <v>663</v>
      </c>
      <c r="C85" t="s">
        <v>651</v>
      </c>
      <c r="D85" s="21" t="str">
        <f>_xlfn.IFNA(VLOOKUP(A85,'[1]Validacion CPUs'!C:H,6,FALSE),_xlfn.IFNA(VLOOKUP(A85,'[1]Validacion TP'!A:H,8,FALSE),VLOOKUP(A85,'[1]Validacion UPS'!A:H,8,FALSE)))</f>
        <v>UPS</v>
      </c>
    </row>
    <row r="86" spans="1:4" x14ac:dyDescent="0.3">
      <c r="A86" s="13" t="s">
        <v>141</v>
      </c>
      <c r="B86" t="s">
        <v>163</v>
      </c>
      <c r="C86" t="s">
        <v>651</v>
      </c>
      <c r="D86" s="21" t="str">
        <f>_xlfn.IFNA(VLOOKUP(A86,'[1]Validacion CPUs'!C:H,6,FALSE),_xlfn.IFNA(VLOOKUP(A86,'[1]Validacion TP'!A:H,8,FALSE),VLOOKUP(A86,'[1]Validacion UPS'!A:H,8,FALSE)))</f>
        <v>UPS</v>
      </c>
    </row>
    <row r="87" spans="1:4" x14ac:dyDescent="0.3">
      <c r="A87" s="13" t="s">
        <v>145</v>
      </c>
      <c r="B87" t="s">
        <v>165</v>
      </c>
      <c r="C87" t="s">
        <v>657</v>
      </c>
      <c r="D87" s="21" t="str">
        <f>_xlfn.IFNA(VLOOKUP(A87,'[1]Validacion CPUs'!C:H,6,FALSE),_xlfn.IFNA(VLOOKUP(A87,'[1]Validacion TP'!A:H,8,FALSE),VLOOKUP(A87,'[1]Validacion UPS'!A:H,8,FALSE)))</f>
        <v>UPS</v>
      </c>
    </row>
    <row r="88" spans="1:4" x14ac:dyDescent="0.3">
      <c r="A88" s="13" t="s">
        <v>144</v>
      </c>
      <c r="B88" t="s">
        <v>165</v>
      </c>
      <c r="C88" t="s">
        <v>657</v>
      </c>
      <c r="D88" s="21" t="str">
        <f>_xlfn.IFNA(VLOOKUP(A88,'[1]Validacion CPUs'!C:H,6,FALSE),_xlfn.IFNA(VLOOKUP(A88,'[1]Validacion TP'!A:H,8,FALSE),VLOOKUP(A88,'[1]Validacion UPS'!A:H,8,FALSE)))</f>
        <v>IMPRESORA TERMICA</v>
      </c>
    </row>
    <row r="89" spans="1:4" x14ac:dyDescent="0.3">
      <c r="A89" s="13" t="s">
        <v>642</v>
      </c>
      <c r="B89" t="s">
        <v>165</v>
      </c>
      <c r="C89" t="s">
        <v>657</v>
      </c>
      <c r="D89" s="21" t="str">
        <f>_xlfn.IFNA(VLOOKUP(A89,'[1]Validacion CPUs'!C:H,6,FALSE),_xlfn.IFNA(VLOOKUP(A89,'[1]Validacion TP'!A:H,8,FALSE),VLOOKUP(A89,'[1]Validacion UPS'!A:H,8,FALSE)))</f>
        <v>COMPUTADORA DE ESCRITORIO</v>
      </c>
    </row>
    <row r="90" spans="1:4" x14ac:dyDescent="0.3">
      <c r="A90" s="13" t="s">
        <v>146</v>
      </c>
      <c r="B90" t="s">
        <v>664</v>
      </c>
      <c r="C90" t="s">
        <v>651</v>
      </c>
      <c r="D90" s="21" t="str">
        <f>_xlfn.IFNA(VLOOKUP(A90,'[1]Validacion CPUs'!C:H,6,FALSE),_xlfn.IFNA(VLOOKUP(A90,'[1]Validacion TP'!A:H,8,FALSE),VLOOKUP(A90,'[1]Validacion UPS'!A:H,8,FALSE)))</f>
        <v>UPS</v>
      </c>
    </row>
    <row r="91" spans="1:4" x14ac:dyDescent="0.3">
      <c r="A91" s="13" t="s">
        <v>665</v>
      </c>
      <c r="B91" t="s">
        <v>666</v>
      </c>
      <c r="C91" t="s">
        <v>651</v>
      </c>
      <c r="D91" s="21" t="str">
        <f>_xlfn.IFNA(VLOOKUP(A91,'[1]Validacion CPUs'!C:H,6,FALSE),_xlfn.IFNA(VLOOKUP(A91,'[1]Validacion TP'!A:H,8,FALSE),VLOOKUP(A91,'[1]Validacion UPS'!A:H,8,FALSE)))</f>
        <v>COMPUTADORA DE ESCRITORIO</v>
      </c>
    </row>
    <row r="92" spans="1:4" x14ac:dyDescent="0.3">
      <c r="A92" s="13" t="s">
        <v>167</v>
      </c>
      <c r="B92" t="s">
        <v>667</v>
      </c>
      <c r="C92" t="s">
        <v>651</v>
      </c>
      <c r="D92" s="21" t="str">
        <f>_xlfn.IFNA(VLOOKUP(A92,'[1]Validacion CPUs'!C:H,6,FALSE),_xlfn.IFNA(VLOOKUP(A92,'[1]Validacion TP'!A:H,8,FALSE),VLOOKUP(A92,'[1]Validacion UPS'!A:H,8,FALSE)))</f>
        <v>UPS</v>
      </c>
    </row>
    <row r="93" spans="1:4" x14ac:dyDescent="0.3">
      <c r="A93" s="13" t="s">
        <v>147</v>
      </c>
      <c r="B93" t="s">
        <v>166</v>
      </c>
      <c r="C93" t="s">
        <v>651</v>
      </c>
      <c r="D93" s="21" t="str">
        <f>_xlfn.IFNA(VLOOKUP(A93,'[1]Validacion CPUs'!C:H,6,FALSE),_xlfn.IFNA(VLOOKUP(A93,'[1]Validacion TP'!A:H,8,FALSE),VLOOKUP(A93,'[1]Validacion UPS'!A:H,8,FALSE)))</f>
        <v>UPS</v>
      </c>
    </row>
    <row r="94" spans="1:4" x14ac:dyDescent="0.3">
      <c r="A94" s="13" t="s">
        <v>149</v>
      </c>
      <c r="B94" t="s">
        <v>169</v>
      </c>
      <c r="C94" t="s">
        <v>657</v>
      </c>
      <c r="D94" s="21" t="str">
        <f>_xlfn.IFNA(VLOOKUP(A94,'[1]Validacion CPUs'!C:H,6,FALSE),_xlfn.IFNA(VLOOKUP(A94,'[1]Validacion TP'!A:H,8,FALSE),VLOOKUP(A94,'[1]Validacion UPS'!A:H,8,FALSE)))</f>
        <v>IMPRESORA TERMICA</v>
      </c>
    </row>
    <row r="95" spans="1:4" x14ac:dyDescent="0.3">
      <c r="A95" s="13" t="s">
        <v>148</v>
      </c>
      <c r="B95" t="s">
        <v>169</v>
      </c>
      <c r="C95" s="14" t="s">
        <v>657</v>
      </c>
      <c r="D95" s="21" t="str">
        <f>_xlfn.IFNA(VLOOKUP(A95,'[1]Validacion CPUs'!C:H,6,FALSE),_xlfn.IFNA(VLOOKUP(A95,'[1]Validacion TP'!A:H,8,FALSE),VLOOKUP(A95,'[1]Validacion UPS'!A:H,8,FALSE)))</f>
        <v>COMPUTADORA DE ESCRITORIO</v>
      </c>
    </row>
    <row r="96" spans="1:4" x14ac:dyDescent="0.3">
      <c r="A96" s="13" t="s">
        <v>150</v>
      </c>
      <c r="B96" t="s">
        <v>169</v>
      </c>
      <c r="C96" s="14" t="s">
        <v>657</v>
      </c>
      <c r="D96" s="21" t="str">
        <f>_xlfn.IFNA(VLOOKUP(A96,'[1]Validacion CPUs'!C:H,6,FALSE),_xlfn.IFNA(VLOOKUP(A96,'[1]Validacion TP'!A:H,8,FALSE),VLOOKUP(A96,'[1]Validacion UPS'!A:H,8,FALSE)))</f>
        <v>UPS</v>
      </c>
    </row>
    <row r="97" spans="1:4" x14ac:dyDescent="0.3">
      <c r="A97" s="13" t="s">
        <v>152</v>
      </c>
      <c r="B97" t="s">
        <v>170</v>
      </c>
      <c r="C97" s="14" t="s">
        <v>651</v>
      </c>
      <c r="D97" s="21" t="str">
        <f>_xlfn.IFNA(VLOOKUP(A97,'[1]Validacion CPUs'!C:H,6,FALSE),_xlfn.IFNA(VLOOKUP(A97,'[1]Validacion TP'!A:H,8,FALSE),VLOOKUP(A97,'[1]Validacion UPS'!A:H,8,FALSE)))</f>
        <v>UPS</v>
      </c>
    </row>
    <row r="98" spans="1:4" x14ac:dyDescent="0.3">
      <c r="A98" s="13" t="s">
        <v>151</v>
      </c>
      <c r="B98" t="s">
        <v>170</v>
      </c>
      <c r="C98" s="14" t="s">
        <v>651</v>
      </c>
      <c r="D98" s="21" t="str">
        <f>_xlfn.IFNA(VLOOKUP(A98,'[1]Validacion CPUs'!C:H,6,FALSE),_xlfn.IFNA(VLOOKUP(A98,'[1]Validacion TP'!A:H,8,FALSE),VLOOKUP(A98,'[1]Validacion UPS'!A:H,8,FALSE)))</f>
        <v>COMPUTADORA DE ESCRITORIO</v>
      </c>
    </row>
    <row r="99" spans="1:4" x14ac:dyDescent="0.3">
      <c r="A99" s="13" t="s">
        <v>154</v>
      </c>
      <c r="B99" t="s">
        <v>171</v>
      </c>
      <c r="C99" s="14" t="s">
        <v>657</v>
      </c>
      <c r="D99" s="21" t="str">
        <f>_xlfn.IFNA(VLOOKUP(A99,'[1]Validacion CPUs'!C:H,6,FALSE),_xlfn.IFNA(VLOOKUP(A99,'[1]Validacion TP'!A:H,8,FALSE),VLOOKUP(A99,'[1]Validacion UPS'!A:H,8,FALSE)))</f>
        <v>UPS</v>
      </c>
    </row>
    <row r="100" spans="1:4" x14ac:dyDescent="0.3">
      <c r="A100" s="13" t="s">
        <v>153</v>
      </c>
      <c r="B100" t="s">
        <v>171</v>
      </c>
      <c r="C100" s="14" t="s">
        <v>657</v>
      </c>
      <c r="D100" s="21" t="str">
        <f>_xlfn.IFNA(VLOOKUP(A100,'[1]Validacion CPUs'!C:H,6,FALSE),_xlfn.IFNA(VLOOKUP(A100,'[1]Validacion TP'!A:H,8,FALSE),VLOOKUP(A100,'[1]Validacion UPS'!A:H,8,FALSE)))</f>
        <v>COMPUTADORA DE ESCRITORIO</v>
      </c>
    </row>
    <row r="101" spans="1:4" x14ac:dyDescent="0.3">
      <c r="A101" s="13" t="s">
        <v>157</v>
      </c>
      <c r="B101" t="s">
        <v>172</v>
      </c>
      <c r="C101" s="14" t="s">
        <v>657</v>
      </c>
      <c r="D101" s="21" t="str">
        <f>_xlfn.IFNA(VLOOKUP(A101,'[1]Validacion CPUs'!C:H,6,FALSE),_xlfn.IFNA(VLOOKUP(A101,'[1]Validacion TP'!A:H,8,FALSE),VLOOKUP(A101,'[1]Validacion UPS'!A:H,8,FALSE)))</f>
        <v>UPS</v>
      </c>
    </row>
    <row r="102" spans="1:4" x14ac:dyDescent="0.3">
      <c r="A102" s="13" t="s">
        <v>156</v>
      </c>
      <c r="B102" t="s">
        <v>172</v>
      </c>
      <c r="C102" s="14" t="s">
        <v>657</v>
      </c>
      <c r="D102" s="21" t="str">
        <f>_xlfn.IFNA(VLOOKUP(A102,'[1]Validacion CPUs'!C:H,6,FALSE),_xlfn.IFNA(VLOOKUP(A102,'[1]Validacion TP'!A:H,8,FALSE),VLOOKUP(A102,'[1]Validacion UPS'!A:H,8,FALSE)))</f>
        <v>IMPRESORA TERMICA</v>
      </c>
    </row>
    <row r="103" spans="1:4" x14ac:dyDescent="0.3">
      <c r="A103" s="13" t="s">
        <v>155</v>
      </c>
      <c r="B103" t="s">
        <v>172</v>
      </c>
      <c r="C103" s="14" t="s">
        <v>657</v>
      </c>
      <c r="D103" s="21" t="str">
        <f>_xlfn.IFNA(VLOOKUP(A103,'[1]Validacion CPUs'!C:H,6,FALSE),_xlfn.IFNA(VLOOKUP(A103,'[1]Validacion TP'!A:H,8,FALSE),VLOOKUP(A103,'[1]Validacion UPS'!A:H,8,FALSE)))</f>
        <v>COMPUTADORA DE ESCRITORIO</v>
      </c>
    </row>
    <row r="104" spans="1:4" x14ac:dyDescent="0.3">
      <c r="A104" s="13" t="s">
        <v>159</v>
      </c>
      <c r="B104" t="s">
        <v>173</v>
      </c>
      <c r="C104" s="14" t="s">
        <v>657</v>
      </c>
      <c r="D104" s="21" t="str">
        <f>_xlfn.IFNA(VLOOKUP(A104,'[1]Validacion CPUs'!C:H,6,FALSE),_xlfn.IFNA(VLOOKUP(A104,'[1]Validacion TP'!A:H,8,FALSE),VLOOKUP(A104,'[1]Validacion UPS'!A:H,8,FALSE)))</f>
        <v>UPS</v>
      </c>
    </row>
    <row r="105" spans="1:4" x14ac:dyDescent="0.3">
      <c r="A105" s="13" t="s">
        <v>158</v>
      </c>
      <c r="B105" t="s">
        <v>173</v>
      </c>
      <c r="C105" s="14" t="s">
        <v>657</v>
      </c>
      <c r="D105" s="21" t="str">
        <f>_xlfn.IFNA(VLOOKUP(A105,'[1]Validacion CPUs'!C:H,6,FALSE),_xlfn.IFNA(VLOOKUP(A105,'[1]Validacion TP'!A:H,8,FALSE),VLOOKUP(A105,'[1]Validacion UPS'!A:H,8,FALSE)))</f>
        <v>COMPUTADORA DE ESCRITORIO</v>
      </c>
    </row>
    <row r="106" spans="1:4" x14ac:dyDescent="0.3">
      <c r="A106" s="13" t="s">
        <v>547</v>
      </c>
      <c r="B106" t="s">
        <v>668</v>
      </c>
      <c r="C106" s="14" t="s">
        <v>651</v>
      </c>
      <c r="D106" s="21" t="str">
        <f>_xlfn.IFNA(VLOOKUP(A106,'[1]Validacion CPUs'!C:H,6,FALSE),_xlfn.IFNA(VLOOKUP(A106,'[1]Validacion TP'!A:H,8,FALSE),VLOOKUP(A106,'[1]Validacion UPS'!A:H,8,FALSE)))</f>
        <v>COMPUTADORA DE ESCRITORIO</v>
      </c>
    </row>
    <row r="107" spans="1:4" x14ac:dyDescent="0.3">
      <c r="A107" s="13" t="s">
        <v>161</v>
      </c>
      <c r="B107" t="s">
        <v>174</v>
      </c>
      <c r="C107" s="14" t="s">
        <v>657</v>
      </c>
      <c r="D107" s="21" t="str">
        <f>_xlfn.IFNA(VLOOKUP(A107,'[1]Validacion CPUs'!C:H,6,FALSE),_xlfn.IFNA(VLOOKUP(A107,'[1]Validacion TP'!A:H,8,FALSE),VLOOKUP(A107,'[1]Validacion UPS'!A:H,8,FALSE)))</f>
        <v>IMPRESORA TERMICA</v>
      </c>
    </row>
    <row r="108" spans="1:4" x14ac:dyDescent="0.3">
      <c r="A108" s="13" t="s">
        <v>643</v>
      </c>
      <c r="B108" t="s">
        <v>174</v>
      </c>
      <c r="C108" s="14" t="s">
        <v>657</v>
      </c>
      <c r="D108" s="21" t="str">
        <f>_xlfn.IFNA(VLOOKUP(A108,'[1]Validacion CPUs'!C:H,6,FALSE),_xlfn.IFNA(VLOOKUP(A108,'[1]Validacion TP'!A:H,8,FALSE),VLOOKUP(A108,'[1]Validacion UPS'!A:H,8,FALSE)))</f>
        <v>COMPUTADORA DE ESCRITORIO</v>
      </c>
    </row>
    <row r="109" spans="1:4" x14ac:dyDescent="0.3">
      <c r="A109" s="13" t="s">
        <v>162</v>
      </c>
      <c r="B109" t="s">
        <v>174</v>
      </c>
      <c r="C109" s="14" t="s">
        <v>657</v>
      </c>
      <c r="D109" s="21" t="str">
        <f>_xlfn.IFNA(VLOOKUP(A109,'[1]Validacion CPUs'!C:H,6,FALSE),_xlfn.IFNA(VLOOKUP(A109,'[1]Validacion TP'!A:H,8,FALSE),VLOOKUP(A109,'[1]Validacion UPS'!A:H,8,FALSE)))</f>
        <v>UPS</v>
      </c>
    </row>
    <row r="110" spans="1:4" x14ac:dyDescent="0.3">
      <c r="A110" s="13" t="s">
        <v>184</v>
      </c>
      <c r="B110" t="s">
        <v>183</v>
      </c>
      <c r="C110" s="14" t="s">
        <v>657</v>
      </c>
      <c r="D110" s="21" t="str">
        <f>_xlfn.IFNA(VLOOKUP(A110,'[1]Validacion CPUs'!C:H,6,FALSE),_xlfn.IFNA(VLOOKUP(A110,'[1]Validacion TP'!A:H,8,FALSE),VLOOKUP(A110,'[1]Validacion UPS'!A:H,8,FALSE)))</f>
        <v>IMPRESORA TERMICA</v>
      </c>
    </row>
    <row r="111" spans="1:4" x14ac:dyDescent="0.3">
      <c r="A111" s="13" t="s">
        <v>599</v>
      </c>
      <c r="B111" t="s">
        <v>183</v>
      </c>
      <c r="C111" s="14" t="s">
        <v>657</v>
      </c>
      <c r="D111" s="21" t="str">
        <f>_xlfn.IFNA(VLOOKUP(A111,'[1]Validacion CPUs'!C:H,6,FALSE),_xlfn.IFNA(VLOOKUP(A111,'[1]Validacion TP'!A:H,8,FALSE),VLOOKUP(A111,'[1]Validacion UPS'!A:H,8,FALSE)))</f>
        <v>UPS</v>
      </c>
    </row>
    <row r="112" spans="1:4" x14ac:dyDescent="0.3">
      <c r="A112" s="13" t="s">
        <v>182</v>
      </c>
      <c r="B112" t="s">
        <v>183</v>
      </c>
      <c r="C112" s="14" t="s">
        <v>657</v>
      </c>
      <c r="D112" s="21" t="str">
        <f>_xlfn.IFNA(VLOOKUP(A112,'[1]Validacion CPUs'!C:H,6,FALSE),_xlfn.IFNA(VLOOKUP(A112,'[1]Validacion TP'!A:H,8,FALSE),VLOOKUP(A112,'[1]Validacion UPS'!A:H,8,FALSE)))</f>
        <v>COMPUTADORA DE ESCRITORIO</v>
      </c>
    </row>
    <row r="113" spans="1:4" x14ac:dyDescent="0.3">
      <c r="A113" s="13" t="s">
        <v>189</v>
      </c>
      <c r="B113" t="s">
        <v>187</v>
      </c>
      <c r="C113" s="14" t="s">
        <v>657</v>
      </c>
      <c r="D113" s="21" t="str">
        <f>_xlfn.IFNA(VLOOKUP(A113,'[1]Validacion CPUs'!C:H,6,FALSE),_xlfn.IFNA(VLOOKUP(A113,'[1]Validacion TP'!A:H,8,FALSE),VLOOKUP(A113,'[1]Validacion UPS'!A:H,8,FALSE)))</f>
        <v>UPS</v>
      </c>
    </row>
    <row r="114" spans="1:4" x14ac:dyDescent="0.3">
      <c r="A114" s="13" t="s">
        <v>188</v>
      </c>
      <c r="B114" t="s">
        <v>187</v>
      </c>
      <c r="C114" s="14" t="s">
        <v>657</v>
      </c>
      <c r="D114" s="21" t="str">
        <f>_xlfn.IFNA(VLOOKUP(A114,'[1]Validacion CPUs'!C:H,6,FALSE),_xlfn.IFNA(VLOOKUP(A114,'[1]Validacion TP'!A:H,8,FALSE),VLOOKUP(A114,'[1]Validacion UPS'!A:H,8,FALSE)))</f>
        <v>IMPRESORA TERMICA</v>
      </c>
    </row>
    <row r="115" spans="1:4" x14ac:dyDescent="0.3">
      <c r="A115" s="13" t="s">
        <v>186</v>
      </c>
      <c r="B115" t="s">
        <v>187</v>
      </c>
      <c r="C115" s="14" t="s">
        <v>657</v>
      </c>
      <c r="D115" s="21" t="str">
        <f>_xlfn.IFNA(VLOOKUP(A115,'[1]Validacion CPUs'!C:H,6,FALSE),_xlfn.IFNA(VLOOKUP(A115,'[1]Validacion TP'!A:H,8,FALSE),VLOOKUP(A115,'[1]Validacion UPS'!A:H,8,FALSE)))</f>
        <v>COMPUTADORA DE ESCRITORIO</v>
      </c>
    </row>
    <row r="116" spans="1:4" x14ac:dyDescent="0.3">
      <c r="A116" s="13" t="s">
        <v>208</v>
      </c>
      <c r="B116" t="s">
        <v>191</v>
      </c>
      <c r="C116" s="14" t="s">
        <v>657</v>
      </c>
      <c r="D116" s="21" t="str">
        <f>_xlfn.IFNA(VLOOKUP(A116,'[1]Validacion CPUs'!C:H,6,FALSE),_xlfn.IFNA(VLOOKUP(A116,'[1]Validacion TP'!A:H,8,FALSE),VLOOKUP(A116,'[1]Validacion UPS'!A:H,8,FALSE)))</f>
        <v>IMPRESORA TERMICA</v>
      </c>
    </row>
    <row r="117" spans="1:4" x14ac:dyDescent="0.3">
      <c r="A117" s="13" t="s">
        <v>633</v>
      </c>
      <c r="B117" t="s">
        <v>191</v>
      </c>
      <c r="C117" s="14" t="s">
        <v>657</v>
      </c>
      <c r="D117" s="21" t="str">
        <f>_xlfn.IFNA(VLOOKUP(A117,'[1]Validacion CPUs'!C:H,6,FALSE),_xlfn.IFNA(VLOOKUP(A117,'[1]Validacion TP'!A:H,8,FALSE),VLOOKUP(A117,'[1]Validacion UPS'!A:H,8,FALSE)))</f>
        <v>COMPUTADORA DE ESCRITORIO</v>
      </c>
    </row>
    <row r="118" spans="1:4" x14ac:dyDescent="0.3">
      <c r="A118" s="13" t="s">
        <v>193</v>
      </c>
      <c r="B118" t="s">
        <v>191</v>
      </c>
      <c r="C118" s="14" t="s">
        <v>657</v>
      </c>
      <c r="D118" s="21" t="str">
        <f>_xlfn.IFNA(VLOOKUP(A118,'[1]Validacion CPUs'!C:H,6,FALSE),_xlfn.IFNA(VLOOKUP(A118,'[1]Validacion TP'!A:H,8,FALSE),VLOOKUP(A118,'[1]Validacion UPS'!A:H,8,FALSE)))</f>
        <v>UPS</v>
      </c>
    </row>
    <row r="119" spans="1:4" x14ac:dyDescent="0.3">
      <c r="A119" s="13" t="s">
        <v>592</v>
      </c>
      <c r="B119" t="s">
        <v>194</v>
      </c>
      <c r="C119" s="14" t="s">
        <v>657</v>
      </c>
      <c r="D119" s="21" t="str">
        <f>_xlfn.IFNA(VLOOKUP(A119,'[1]Validacion CPUs'!C:H,6,FALSE),_xlfn.IFNA(VLOOKUP(A119,'[1]Validacion TP'!A:H,8,FALSE),VLOOKUP(A119,'[1]Validacion UPS'!A:H,8,FALSE)))</f>
        <v>IMPRESORA TERMICA</v>
      </c>
    </row>
    <row r="120" spans="1:4" x14ac:dyDescent="0.3">
      <c r="A120" s="13" t="s">
        <v>195</v>
      </c>
      <c r="B120" t="s">
        <v>194</v>
      </c>
      <c r="C120" s="14" t="s">
        <v>657</v>
      </c>
      <c r="D120" s="21" t="str">
        <f>_xlfn.IFNA(VLOOKUP(A120,'[1]Validacion CPUs'!C:H,6,FALSE),_xlfn.IFNA(VLOOKUP(A120,'[1]Validacion TP'!A:H,8,FALSE),VLOOKUP(A120,'[1]Validacion UPS'!A:H,8,FALSE)))</f>
        <v>COMPUTADORA DE ESCRITORIO</v>
      </c>
    </row>
    <row r="121" spans="1:4" x14ac:dyDescent="0.3">
      <c r="A121" s="13" t="s">
        <v>200</v>
      </c>
      <c r="B121" t="s">
        <v>198</v>
      </c>
      <c r="C121" s="14" t="s">
        <v>657</v>
      </c>
      <c r="D121" s="21" t="str">
        <f>_xlfn.IFNA(VLOOKUP(A121,'[1]Validacion CPUs'!C:H,6,FALSE),_xlfn.IFNA(VLOOKUP(A121,'[1]Validacion TP'!A:H,8,FALSE),VLOOKUP(A121,'[1]Validacion UPS'!A:H,8,FALSE)))</f>
        <v>IMPRESORA TERMICA</v>
      </c>
    </row>
    <row r="122" spans="1:4" x14ac:dyDescent="0.3">
      <c r="A122" s="13" t="s">
        <v>644</v>
      </c>
      <c r="B122" t="s">
        <v>198</v>
      </c>
      <c r="C122" s="14" t="s">
        <v>657</v>
      </c>
      <c r="D122" s="21" t="str">
        <f>_xlfn.IFNA(VLOOKUP(A122,'[1]Validacion CPUs'!C:H,6,FALSE),_xlfn.IFNA(VLOOKUP(A122,'[1]Validacion TP'!A:H,8,FALSE),VLOOKUP(A122,'[1]Validacion UPS'!A:H,8,FALSE)))</f>
        <v>COMPUTADORA DE ESCRITORIO</v>
      </c>
    </row>
    <row r="123" spans="1:4" x14ac:dyDescent="0.3">
      <c r="A123" s="13" t="s">
        <v>201</v>
      </c>
      <c r="B123" t="s">
        <v>198</v>
      </c>
      <c r="C123" s="14" t="s">
        <v>657</v>
      </c>
      <c r="D123" s="21" t="str">
        <f>_xlfn.IFNA(VLOOKUP(A123,'[1]Validacion CPUs'!C:H,6,FALSE),_xlfn.IFNA(VLOOKUP(A123,'[1]Validacion TP'!A:H,8,FALSE),VLOOKUP(A123,'[1]Validacion UPS'!A:H,8,FALSE)))</f>
        <v>UPS</v>
      </c>
    </row>
    <row r="124" spans="1:4" x14ac:dyDescent="0.3">
      <c r="A124" s="13" t="s">
        <v>204</v>
      </c>
      <c r="B124" t="s">
        <v>202</v>
      </c>
      <c r="C124" s="14" t="s">
        <v>657</v>
      </c>
      <c r="D124" s="21" t="str">
        <f>_xlfn.IFNA(VLOOKUP(A124,'[1]Validacion CPUs'!C:H,6,FALSE),_xlfn.IFNA(VLOOKUP(A124,'[1]Validacion TP'!A:H,8,FALSE),VLOOKUP(A124,'[1]Validacion UPS'!A:H,8,FALSE)))</f>
        <v>IMPRESORA TERMICA</v>
      </c>
    </row>
    <row r="125" spans="1:4" x14ac:dyDescent="0.3">
      <c r="A125" s="13" t="s">
        <v>205</v>
      </c>
      <c r="B125" t="s">
        <v>202</v>
      </c>
      <c r="C125" s="14" t="s">
        <v>657</v>
      </c>
      <c r="D125" s="21" t="str">
        <f>_xlfn.IFNA(VLOOKUP(A125,'[1]Validacion CPUs'!C:H,6,FALSE),_xlfn.IFNA(VLOOKUP(A125,'[1]Validacion TP'!A:H,8,FALSE),VLOOKUP(A125,'[1]Validacion UPS'!A:H,8,FALSE)))</f>
        <v>UPS</v>
      </c>
    </row>
    <row r="126" spans="1:4" x14ac:dyDescent="0.3">
      <c r="A126" s="13" t="s">
        <v>589</v>
      </c>
      <c r="B126" t="s">
        <v>202</v>
      </c>
      <c r="C126" s="14" t="s">
        <v>657</v>
      </c>
      <c r="D126" s="21" t="str">
        <f>_xlfn.IFNA(VLOOKUP(A126,'[1]Validacion CPUs'!C:H,6,FALSE),_xlfn.IFNA(VLOOKUP(A126,'[1]Validacion TP'!A:H,8,FALSE),VLOOKUP(A126,'[1]Validacion UPS'!A:H,8,FALSE)))</f>
        <v>COMPUTADORA DE ESCRITORIO</v>
      </c>
    </row>
    <row r="127" spans="1:4" x14ac:dyDescent="0.3">
      <c r="A127" s="13" t="s">
        <v>192</v>
      </c>
      <c r="B127" t="s">
        <v>669</v>
      </c>
      <c r="C127" s="14" t="s">
        <v>657</v>
      </c>
      <c r="D127" s="21" t="str">
        <f>_xlfn.IFNA(VLOOKUP(A127,'[1]Validacion CPUs'!C:H,6,FALSE),_xlfn.IFNA(VLOOKUP(A127,'[1]Validacion TP'!A:H,8,FALSE),VLOOKUP(A127,'[1]Validacion UPS'!A:H,8,FALSE)))</f>
        <v>IMPRESORA TERMICA</v>
      </c>
    </row>
    <row r="128" spans="1:4" x14ac:dyDescent="0.3">
      <c r="A128" s="13" t="s">
        <v>209</v>
      </c>
      <c r="B128" t="s">
        <v>669</v>
      </c>
      <c r="C128" s="14" t="s">
        <v>657</v>
      </c>
      <c r="D128" s="21" t="str">
        <f>_xlfn.IFNA(VLOOKUP(A128,'[1]Validacion CPUs'!C:H,6,FALSE),_xlfn.IFNA(VLOOKUP(A128,'[1]Validacion TP'!A:H,8,FALSE),VLOOKUP(A128,'[1]Validacion UPS'!A:H,8,FALSE)))</f>
        <v>UPS</v>
      </c>
    </row>
    <row r="129" spans="1:4" x14ac:dyDescent="0.3">
      <c r="A129" s="13" t="s">
        <v>207</v>
      </c>
      <c r="B129" t="s">
        <v>669</v>
      </c>
      <c r="C129" s="14" t="s">
        <v>657</v>
      </c>
      <c r="D129" s="21" t="str">
        <f>_xlfn.IFNA(VLOOKUP(A129,'[1]Validacion CPUs'!C:H,6,FALSE),_xlfn.IFNA(VLOOKUP(A129,'[1]Validacion TP'!A:H,8,FALSE),VLOOKUP(A129,'[1]Validacion UPS'!A:H,8,FALSE)))</f>
        <v>COMPUTADORA DE ESCRITORIO</v>
      </c>
    </row>
    <row r="130" spans="1:4" x14ac:dyDescent="0.3">
      <c r="A130" s="13" t="s">
        <v>215</v>
      </c>
      <c r="B130" t="s">
        <v>670</v>
      </c>
      <c r="C130" s="14" t="s">
        <v>657</v>
      </c>
      <c r="D130" s="21" t="str">
        <f>_xlfn.IFNA(VLOOKUP(A130,'[1]Validacion CPUs'!C:H,6,FALSE),_xlfn.IFNA(VLOOKUP(A130,'[1]Validacion TP'!A:H,8,FALSE),VLOOKUP(A130,'[1]Validacion UPS'!A:H,8,FALSE)))</f>
        <v>UPS</v>
      </c>
    </row>
    <row r="131" spans="1:4" x14ac:dyDescent="0.3">
      <c r="A131" s="13" t="s">
        <v>468</v>
      </c>
      <c r="B131" t="s">
        <v>670</v>
      </c>
      <c r="C131" s="14" t="s">
        <v>657</v>
      </c>
      <c r="D131" s="21" t="str">
        <f>_xlfn.IFNA(VLOOKUP(A131,'[1]Validacion CPUs'!C:H,6,FALSE),_xlfn.IFNA(VLOOKUP(A131,'[1]Validacion TP'!A:H,8,FALSE),VLOOKUP(A131,'[1]Validacion UPS'!A:H,8,FALSE)))</f>
        <v>IMPRESORA TERMICA</v>
      </c>
    </row>
    <row r="132" spans="1:4" x14ac:dyDescent="0.3">
      <c r="A132" s="13" t="s">
        <v>213</v>
      </c>
      <c r="B132" t="s">
        <v>670</v>
      </c>
      <c r="C132" s="14" t="s">
        <v>657</v>
      </c>
      <c r="D132" s="21" t="str">
        <f>_xlfn.IFNA(VLOOKUP(A132,'[1]Validacion CPUs'!C:H,6,FALSE),_xlfn.IFNA(VLOOKUP(A132,'[1]Validacion TP'!A:H,8,FALSE),VLOOKUP(A132,'[1]Validacion UPS'!A:H,8,FALSE)))</f>
        <v>COMPUTADORA DE ESCRITORIO</v>
      </c>
    </row>
    <row r="133" spans="1:4" x14ac:dyDescent="0.3">
      <c r="A133" s="13" t="s">
        <v>221</v>
      </c>
      <c r="B133" t="s">
        <v>671</v>
      </c>
      <c r="C133" s="14" t="s">
        <v>657</v>
      </c>
      <c r="D133" s="21" t="str">
        <f>_xlfn.IFNA(VLOOKUP(A133,'[1]Validacion CPUs'!C:H,6,FALSE),_xlfn.IFNA(VLOOKUP(A133,'[1]Validacion TP'!A:H,8,FALSE),VLOOKUP(A133,'[1]Validacion UPS'!A:H,8,FALSE)))</f>
        <v>COMPUTADORA DE ESCRITORIO</v>
      </c>
    </row>
    <row r="134" spans="1:4" x14ac:dyDescent="0.3">
      <c r="A134" s="13" t="s">
        <v>222</v>
      </c>
      <c r="B134" t="s">
        <v>671</v>
      </c>
      <c r="C134" s="14" t="s">
        <v>657</v>
      </c>
      <c r="D134" s="21" t="str">
        <f>_xlfn.IFNA(VLOOKUP(A134,'[1]Validacion CPUs'!C:H,6,FALSE),_xlfn.IFNA(VLOOKUP(A134,'[1]Validacion TP'!A:H,8,FALSE),VLOOKUP(A134,'[1]Validacion UPS'!A:H,8,FALSE)))</f>
        <v>UPS</v>
      </c>
    </row>
    <row r="135" spans="1:4" x14ac:dyDescent="0.3">
      <c r="A135" s="13" t="s">
        <v>538</v>
      </c>
      <c r="B135" t="s">
        <v>672</v>
      </c>
      <c r="C135" s="14" t="s">
        <v>652</v>
      </c>
      <c r="D135" s="21" t="str">
        <f>_xlfn.IFNA(VLOOKUP(A135,'[1]Validacion CPUs'!C:H,6,FALSE),_xlfn.IFNA(VLOOKUP(A135,'[1]Validacion TP'!A:H,8,FALSE),VLOOKUP(A135,'[1]Validacion UPS'!A:H,8,FALSE)))</f>
        <v>IMPRESORA TERMICA</v>
      </c>
    </row>
    <row r="136" spans="1:4" x14ac:dyDescent="0.3">
      <c r="A136" s="13" t="s">
        <v>603</v>
      </c>
      <c r="B136" t="s">
        <v>672</v>
      </c>
      <c r="C136" s="14" t="s">
        <v>652</v>
      </c>
      <c r="D136" s="21" t="str">
        <f>_xlfn.IFNA(VLOOKUP(A136,'[1]Validacion CPUs'!C:H,6,FALSE),_xlfn.IFNA(VLOOKUP(A136,'[1]Validacion TP'!A:H,8,FALSE),VLOOKUP(A136,'[1]Validacion UPS'!A:H,8,FALSE)))</f>
        <v>COMPUTADORA DE ESCRITORIO</v>
      </c>
    </row>
    <row r="137" spans="1:4" x14ac:dyDescent="0.3">
      <c r="A137" s="13" t="s">
        <v>673</v>
      </c>
      <c r="B137" t="s">
        <v>672</v>
      </c>
      <c r="C137" s="14" t="s">
        <v>652</v>
      </c>
      <c r="D137" s="21" t="str">
        <f>_xlfn.IFNA(VLOOKUP(A137,'[1]Validacion CPUs'!C:H,6,FALSE),_xlfn.IFNA(VLOOKUP(A137,'[1]Validacion TP'!A:H,8,FALSE),VLOOKUP(A137,'[1]Validacion UPS'!A:H,8,FALSE)))</f>
        <v>UPS</v>
      </c>
    </row>
    <row r="138" spans="1:4" x14ac:dyDescent="0.3">
      <c r="A138" s="13" t="s">
        <v>674</v>
      </c>
      <c r="B138" t="s">
        <v>675</v>
      </c>
      <c r="C138" s="14" t="s">
        <v>652</v>
      </c>
      <c r="D138" s="21" t="str">
        <f>_xlfn.IFNA(VLOOKUP(A138,'[1]Validacion CPUs'!C:H,6,FALSE),_xlfn.IFNA(VLOOKUP(A138,'[1]Validacion TP'!A:H,8,FALSE),VLOOKUP(A138,'[1]Validacion UPS'!A:H,8,FALSE)))</f>
        <v>COMPUTADORA DE ESCRITORIO</v>
      </c>
    </row>
    <row r="139" spans="1:4" x14ac:dyDescent="0.3">
      <c r="A139" s="13" t="s">
        <v>219</v>
      </c>
      <c r="B139" t="s">
        <v>676</v>
      </c>
      <c r="C139" s="14" t="s">
        <v>652</v>
      </c>
      <c r="D139" s="21" t="str">
        <f>_xlfn.IFNA(VLOOKUP(A139,'[1]Validacion CPUs'!C:H,6,FALSE),_xlfn.IFNA(VLOOKUP(A139,'[1]Validacion TP'!A:H,8,FALSE),VLOOKUP(A139,'[1]Validacion UPS'!A:H,8,FALSE)))</f>
        <v>UPS</v>
      </c>
    </row>
    <row r="140" spans="1:4" x14ac:dyDescent="0.3">
      <c r="A140" s="13" t="s">
        <v>532</v>
      </c>
      <c r="B140" t="s">
        <v>676</v>
      </c>
      <c r="C140" s="14" t="s">
        <v>652</v>
      </c>
      <c r="D140" s="21" t="str">
        <f>_xlfn.IFNA(VLOOKUP(A140,'[1]Validacion CPUs'!C:H,6,FALSE),_xlfn.IFNA(VLOOKUP(A140,'[1]Validacion TP'!A:H,8,FALSE),VLOOKUP(A140,'[1]Validacion UPS'!A:H,8,FALSE)))</f>
        <v>UPS</v>
      </c>
    </row>
    <row r="141" spans="1:4" x14ac:dyDescent="0.3">
      <c r="A141" s="13" t="s">
        <v>533</v>
      </c>
      <c r="B141" t="s">
        <v>676</v>
      </c>
      <c r="C141" s="14" t="s">
        <v>652</v>
      </c>
      <c r="D141" s="21" t="str">
        <f>_xlfn.IFNA(VLOOKUP(A141,'[1]Validacion CPUs'!C:H,6,FALSE),_xlfn.IFNA(VLOOKUP(A141,'[1]Validacion TP'!A:H,8,FALSE),VLOOKUP(A141,'[1]Validacion UPS'!A:H,8,FALSE)))</f>
        <v>UPS</v>
      </c>
    </row>
    <row r="142" spans="1:4" x14ac:dyDescent="0.3">
      <c r="A142" s="13" t="s">
        <v>677</v>
      </c>
      <c r="B142" t="s">
        <v>676</v>
      </c>
      <c r="C142" s="14" t="s">
        <v>652</v>
      </c>
      <c r="D142" s="21" t="str">
        <f>_xlfn.IFNA(VLOOKUP(A142,'[1]Validacion CPUs'!C:H,6,FALSE),_xlfn.IFNA(VLOOKUP(A142,'[1]Validacion TP'!A:H,8,FALSE),VLOOKUP(A142,'[1]Validacion UPS'!A:H,8,FALSE)))</f>
        <v>UPS</v>
      </c>
    </row>
    <row r="143" spans="1:4" x14ac:dyDescent="0.3">
      <c r="A143" s="13" t="s">
        <v>548</v>
      </c>
      <c r="B143" t="s">
        <v>678</v>
      </c>
      <c r="C143" s="14" t="s">
        <v>652</v>
      </c>
      <c r="D143" s="21" t="str">
        <f>_xlfn.IFNA(VLOOKUP(A143,'[1]Validacion CPUs'!C:H,6,FALSE),_xlfn.IFNA(VLOOKUP(A143,'[1]Validacion TP'!A:H,8,FALSE),VLOOKUP(A143,'[1]Validacion UPS'!A:H,8,FALSE)))</f>
        <v>IMPRESORA TERMICA</v>
      </c>
    </row>
    <row r="144" spans="1:4" x14ac:dyDescent="0.3">
      <c r="A144" s="13" t="s">
        <v>268</v>
      </c>
      <c r="B144" s="15" t="s">
        <v>678</v>
      </c>
      <c r="C144" s="14" t="s">
        <v>652</v>
      </c>
      <c r="D144" s="21" t="str">
        <f>_xlfn.IFNA(VLOOKUP(A144,'[1]Validacion CPUs'!C:H,6,FALSE),_xlfn.IFNA(VLOOKUP(A144,'[1]Validacion TP'!A:H,8,FALSE),VLOOKUP(A144,'[1]Validacion UPS'!A:H,8,FALSE)))</f>
        <v>COMPUTADORA DE ESCRITORIO</v>
      </c>
    </row>
    <row r="145" spans="1:4" x14ac:dyDescent="0.3">
      <c r="A145" s="16" t="s">
        <v>679</v>
      </c>
      <c r="B145" t="s">
        <v>678</v>
      </c>
      <c r="C145" s="14" t="s">
        <v>652</v>
      </c>
      <c r="D145" s="21" t="str">
        <f>_xlfn.IFNA(VLOOKUP(A145,'[1]Validacion CPUs'!C:H,6,FALSE),_xlfn.IFNA(VLOOKUP(A145,'[1]Validacion TP'!A:H,8,FALSE),VLOOKUP(A145,'[1]Validacion UPS'!A:H,8,FALSE)))</f>
        <v>COMPUTADORA DE ESCRITORIO</v>
      </c>
    </row>
    <row r="146" spans="1:4" x14ac:dyDescent="0.3">
      <c r="A146" s="16" t="s">
        <v>680</v>
      </c>
      <c r="B146" t="s">
        <v>678</v>
      </c>
      <c r="C146" s="14" t="s">
        <v>652</v>
      </c>
      <c r="D146" s="21" t="str">
        <f>_xlfn.IFNA(VLOOKUP(A146,'[1]Validacion CPUs'!C:H,6,FALSE),_xlfn.IFNA(VLOOKUP(A146,'[1]Validacion TP'!A:H,8,FALSE),VLOOKUP(A146,'[1]Validacion UPS'!A:H,8,FALSE)))</f>
        <v>COMPUTADORA DE ESCRITORIO</v>
      </c>
    </row>
    <row r="147" spans="1:4" x14ac:dyDescent="0.3">
      <c r="A147" s="16" t="s">
        <v>460</v>
      </c>
      <c r="B147" t="s">
        <v>678</v>
      </c>
      <c r="C147" s="14" t="s">
        <v>652</v>
      </c>
      <c r="D147" s="21" t="str">
        <f>_xlfn.IFNA(VLOOKUP(A147,'[1]Validacion CPUs'!C:H,6,FALSE),_xlfn.IFNA(VLOOKUP(A147,'[1]Validacion TP'!A:H,8,FALSE),VLOOKUP(A147,'[1]Validacion UPS'!A:H,8,FALSE)))</f>
        <v>COMPUTADORA DE ESCRITORIO</v>
      </c>
    </row>
    <row r="148" spans="1:4" x14ac:dyDescent="0.3">
      <c r="A148" s="16" t="s">
        <v>353</v>
      </c>
      <c r="B148" t="s">
        <v>678</v>
      </c>
      <c r="C148" s="14" t="s">
        <v>652</v>
      </c>
      <c r="D148" s="21" t="str">
        <f>_xlfn.IFNA(VLOOKUP(A148,'[1]Validacion CPUs'!C:H,6,FALSE),_xlfn.IFNA(VLOOKUP(A148,'[1]Validacion TP'!A:H,8,FALSE),VLOOKUP(A148,'[1]Validacion UPS'!A:H,8,FALSE)))</f>
        <v>COMPUTADORA DE ESCRITORIO</v>
      </c>
    </row>
    <row r="149" spans="1:4" x14ac:dyDescent="0.3">
      <c r="A149" s="16" t="s">
        <v>627</v>
      </c>
      <c r="B149" t="s">
        <v>678</v>
      </c>
      <c r="C149" s="14" t="s">
        <v>652</v>
      </c>
      <c r="D149" s="21" t="str">
        <f>_xlfn.IFNA(VLOOKUP(A149,'[1]Validacion CPUs'!C:H,6,FALSE),_xlfn.IFNA(VLOOKUP(A149,'[1]Validacion TP'!A:H,8,FALSE),VLOOKUP(A149,'[1]Validacion UPS'!A:H,8,FALSE)))</f>
        <v>COMPUTADORA DE ESCRITORIO</v>
      </c>
    </row>
    <row r="150" spans="1:4" x14ac:dyDescent="0.3">
      <c r="A150" s="16" t="s">
        <v>550</v>
      </c>
      <c r="B150" t="s">
        <v>678</v>
      </c>
      <c r="C150" s="14" t="s">
        <v>652</v>
      </c>
      <c r="D150" s="21" t="str">
        <f>_xlfn.IFNA(VLOOKUP(A150,'[1]Validacion CPUs'!C:H,6,FALSE),_xlfn.IFNA(VLOOKUP(A150,'[1]Validacion TP'!A:H,8,FALSE),VLOOKUP(A150,'[1]Validacion UPS'!A:H,8,FALSE)))</f>
        <v>IMPRESORA TERMICA</v>
      </c>
    </row>
    <row r="151" spans="1:4" x14ac:dyDescent="0.3">
      <c r="A151" s="16" t="s">
        <v>115</v>
      </c>
      <c r="B151" t="s">
        <v>678</v>
      </c>
      <c r="C151" s="14" t="s">
        <v>652</v>
      </c>
      <c r="D151" s="21" t="str">
        <f>_xlfn.IFNA(VLOOKUP(A151,'[1]Validacion CPUs'!C:H,6,FALSE),_xlfn.IFNA(VLOOKUP(A151,'[1]Validacion TP'!A:H,8,FALSE),VLOOKUP(A151,'[1]Validacion UPS'!A:H,8,FALSE)))</f>
        <v>IMPRESORA TERMICA</v>
      </c>
    </row>
    <row r="152" spans="1:4" x14ac:dyDescent="0.3">
      <c r="A152" s="16" t="s">
        <v>501</v>
      </c>
      <c r="B152" t="s">
        <v>678</v>
      </c>
      <c r="C152" s="14" t="s">
        <v>652</v>
      </c>
      <c r="D152" s="21" t="str">
        <f>_xlfn.IFNA(VLOOKUP(A152,'[1]Validacion CPUs'!C:H,6,FALSE),_xlfn.IFNA(VLOOKUP(A152,'[1]Validacion TP'!A:H,8,FALSE),VLOOKUP(A152,'[1]Validacion UPS'!A:H,8,FALSE)))</f>
        <v>UPS</v>
      </c>
    </row>
    <row r="153" spans="1:4" x14ac:dyDescent="0.3">
      <c r="A153" s="16" t="s">
        <v>465</v>
      </c>
      <c r="B153" t="s">
        <v>678</v>
      </c>
      <c r="C153" s="14" t="s">
        <v>652</v>
      </c>
      <c r="D153" s="21" t="str">
        <f>_xlfn.IFNA(VLOOKUP(A153,'[1]Validacion CPUs'!C:H,6,FALSE),_xlfn.IFNA(VLOOKUP(A153,'[1]Validacion TP'!A:H,8,FALSE),VLOOKUP(A153,'[1]Validacion UPS'!A:H,8,FALSE)))</f>
        <v>UPS</v>
      </c>
    </row>
    <row r="154" spans="1:4" x14ac:dyDescent="0.3">
      <c r="A154" s="16" t="s">
        <v>274</v>
      </c>
      <c r="B154" t="s">
        <v>678</v>
      </c>
      <c r="C154" s="14" t="s">
        <v>652</v>
      </c>
      <c r="D154" s="21" t="str">
        <f>_xlfn.IFNA(VLOOKUP(A154,'[1]Validacion CPUs'!C:H,6,FALSE),_xlfn.IFNA(VLOOKUP(A154,'[1]Validacion TP'!A:H,8,FALSE),VLOOKUP(A154,'[1]Validacion UPS'!A:H,8,FALSE)))</f>
        <v>IMPRESORA TERMICA</v>
      </c>
    </row>
    <row r="155" spans="1:4" x14ac:dyDescent="0.3">
      <c r="A155" s="16" t="s">
        <v>463</v>
      </c>
      <c r="B155" t="s">
        <v>678</v>
      </c>
      <c r="C155" s="14" t="s">
        <v>652</v>
      </c>
      <c r="D155" s="21" t="str">
        <f>_xlfn.IFNA(VLOOKUP(A155,'[1]Validacion CPUs'!C:H,6,FALSE),_xlfn.IFNA(VLOOKUP(A155,'[1]Validacion TP'!A:H,8,FALSE),VLOOKUP(A155,'[1]Validacion UPS'!A:H,8,FALSE)))</f>
        <v>IMPRESORA TERMICA</v>
      </c>
    </row>
    <row r="156" spans="1:4" x14ac:dyDescent="0.3">
      <c r="A156" s="16" t="s">
        <v>223</v>
      </c>
      <c r="B156" t="s">
        <v>678</v>
      </c>
      <c r="C156" s="14" t="s">
        <v>652</v>
      </c>
      <c r="D156" s="21" t="str">
        <f>_xlfn.IFNA(VLOOKUP(A156,'[1]Validacion CPUs'!C:H,6,FALSE),_xlfn.IFNA(VLOOKUP(A156,'[1]Validacion TP'!A:H,8,FALSE),VLOOKUP(A156,'[1]Validacion UPS'!A:H,8,FALSE)))</f>
        <v>COMPUTADORA DE ESCRITORIO</v>
      </c>
    </row>
    <row r="157" spans="1:4" x14ac:dyDescent="0.3">
      <c r="A157" s="16" t="s">
        <v>225</v>
      </c>
      <c r="B157" t="s">
        <v>681</v>
      </c>
      <c r="C157" t="s">
        <v>652</v>
      </c>
      <c r="D157" s="21" t="str">
        <f>_xlfn.IFNA(VLOOKUP(A157,'[1]Validacion CPUs'!C:H,6,FALSE),_xlfn.IFNA(VLOOKUP(A157,'[1]Validacion TP'!A:H,8,FALSE),VLOOKUP(A157,'[1]Validacion UPS'!A:H,8,FALSE)))</f>
        <v>IMPRESORA TERMICA</v>
      </c>
    </row>
    <row r="158" spans="1:4" x14ac:dyDescent="0.3">
      <c r="A158" s="16" t="s">
        <v>227</v>
      </c>
      <c r="B158" t="s">
        <v>226</v>
      </c>
      <c r="C158" t="s">
        <v>652</v>
      </c>
      <c r="D158" s="21" t="str">
        <f>_xlfn.IFNA(VLOOKUP(A158,'[1]Validacion CPUs'!C:H,6,FALSE),_xlfn.IFNA(VLOOKUP(A158,'[1]Validacion TP'!A:H,8,FALSE),VLOOKUP(A158,'[1]Validacion UPS'!A:H,8,FALSE)))</f>
        <v>UPS</v>
      </c>
    </row>
    <row r="159" spans="1:4" x14ac:dyDescent="0.3">
      <c r="A159" s="16" t="s">
        <v>229</v>
      </c>
      <c r="B159" t="s">
        <v>228</v>
      </c>
      <c r="C159" t="s">
        <v>652</v>
      </c>
      <c r="D159" s="21" t="str">
        <f>_xlfn.IFNA(VLOOKUP(A159,'[1]Validacion CPUs'!C:H,6,FALSE),_xlfn.IFNA(VLOOKUP(A159,'[1]Validacion TP'!A:H,8,FALSE),VLOOKUP(A159,'[1]Validacion UPS'!A:H,8,FALSE)))</f>
        <v>COMPUTADORA DE ESCRITORIO</v>
      </c>
    </row>
    <row r="160" spans="1:4" x14ac:dyDescent="0.3">
      <c r="A160" s="16" t="s">
        <v>682</v>
      </c>
      <c r="B160" t="s">
        <v>230</v>
      </c>
      <c r="C160" t="s">
        <v>652</v>
      </c>
      <c r="D160" s="21" t="str">
        <f>_xlfn.IFNA(VLOOKUP(A160,'[1]Validacion CPUs'!C:H,6,FALSE),_xlfn.IFNA(VLOOKUP(A160,'[1]Validacion TP'!A:H,8,FALSE),VLOOKUP(A160,'[1]Validacion UPS'!A:H,8,FALSE)))</f>
        <v>COMPUTADORA DE ESCRITORIO</v>
      </c>
    </row>
    <row r="161" spans="1:4" x14ac:dyDescent="0.3">
      <c r="A161" s="16" t="s">
        <v>232</v>
      </c>
      <c r="B161" t="s">
        <v>231</v>
      </c>
      <c r="C161" t="s">
        <v>652</v>
      </c>
      <c r="D161" s="21" t="str">
        <f>_xlfn.IFNA(VLOOKUP(A161,'[1]Validacion CPUs'!C:H,6,FALSE),_xlfn.IFNA(VLOOKUP(A161,'[1]Validacion TP'!A:H,8,FALSE),VLOOKUP(A161,'[1]Validacion UPS'!A:H,8,FALSE)))</f>
        <v>COMPUTADORA DE ESCRITORIO</v>
      </c>
    </row>
    <row r="162" spans="1:4" x14ac:dyDescent="0.3">
      <c r="A162" s="16" t="s">
        <v>235</v>
      </c>
      <c r="B162" t="s">
        <v>233</v>
      </c>
      <c r="C162" t="s">
        <v>652</v>
      </c>
      <c r="D162" s="21" t="str">
        <f>_xlfn.IFNA(VLOOKUP(A162,'[1]Validacion CPUs'!C:H,6,FALSE),_xlfn.IFNA(VLOOKUP(A162,'[1]Validacion TP'!A:H,8,FALSE),VLOOKUP(A162,'[1]Validacion UPS'!A:H,8,FALSE)))</f>
        <v>UPS</v>
      </c>
    </row>
    <row r="163" spans="1:4" x14ac:dyDescent="0.3">
      <c r="A163" s="16" t="s">
        <v>234</v>
      </c>
      <c r="B163" t="s">
        <v>233</v>
      </c>
      <c r="C163" t="s">
        <v>652</v>
      </c>
      <c r="D163" s="21" t="str">
        <f>_xlfn.IFNA(VLOOKUP(A163,'[1]Validacion CPUs'!C:H,6,FALSE),_xlfn.IFNA(VLOOKUP(A163,'[1]Validacion TP'!A:H,8,FALSE),VLOOKUP(A163,'[1]Validacion UPS'!A:H,8,FALSE)))</f>
        <v>COMPUTADORA DE ESCRITORIO</v>
      </c>
    </row>
    <row r="164" spans="1:4" x14ac:dyDescent="0.3">
      <c r="A164" s="16" t="s">
        <v>239</v>
      </c>
      <c r="B164" t="s">
        <v>238</v>
      </c>
      <c r="C164" t="s">
        <v>652</v>
      </c>
      <c r="D164" s="21" t="str">
        <f>_xlfn.IFNA(VLOOKUP(A164,'[1]Validacion CPUs'!C:H,6,FALSE),_xlfn.IFNA(VLOOKUP(A164,'[1]Validacion TP'!A:H,8,FALSE),VLOOKUP(A164,'[1]Validacion UPS'!A:H,8,FALSE)))</f>
        <v>UPS</v>
      </c>
    </row>
    <row r="165" spans="1:4" x14ac:dyDescent="0.3">
      <c r="A165" s="16" t="s">
        <v>242</v>
      </c>
      <c r="B165" t="s">
        <v>241</v>
      </c>
      <c r="C165" t="s">
        <v>652</v>
      </c>
      <c r="D165" s="21" t="str">
        <f>_xlfn.IFNA(VLOOKUP(A165,'[1]Validacion CPUs'!C:H,6,FALSE),_xlfn.IFNA(VLOOKUP(A165,'[1]Validacion TP'!A:H,8,FALSE),VLOOKUP(A165,'[1]Validacion UPS'!A:H,8,FALSE)))</f>
        <v>COMPUTADORA DE ESCRITORIO</v>
      </c>
    </row>
    <row r="166" spans="1:4" x14ac:dyDescent="0.3">
      <c r="A166" s="16" t="s">
        <v>244</v>
      </c>
      <c r="B166" t="s">
        <v>243</v>
      </c>
      <c r="C166" t="s">
        <v>652</v>
      </c>
      <c r="D166" s="21" t="str">
        <f>_xlfn.IFNA(VLOOKUP(A166,'[1]Validacion CPUs'!C:H,6,FALSE),_xlfn.IFNA(VLOOKUP(A166,'[1]Validacion TP'!A:H,8,FALSE),VLOOKUP(A166,'[1]Validacion UPS'!A:H,8,FALSE)))</f>
        <v>COMPUTADORA DE ESCRITORIO</v>
      </c>
    </row>
    <row r="167" spans="1:4" x14ac:dyDescent="0.3">
      <c r="A167" s="17" t="s">
        <v>246</v>
      </c>
      <c r="B167" t="s">
        <v>245</v>
      </c>
      <c r="C167" t="s">
        <v>652</v>
      </c>
      <c r="D167" s="21" t="str">
        <f>_xlfn.IFNA(VLOOKUP(A167,'[1]Validacion CPUs'!C:H,6,FALSE),_xlfn.IFNA(VLOOKUP(A167,'[1]Validacion TP'!A:H,8,FALSE),VLOOKUP(A167,'[1]Validacion UPS'!A:H,8,FALSE)))</f>
        <v>COMPUTADORA DE ESCRITORIO</v>
      </c>
    </row>
    <row r="168" spans="1:4" x14ac:dyDescent="0.3">
      <c r="A168" s="17" t="s">
        <v>248</v>
      </c>
      <c r="B168" t="s">
        <v>245</v>
      </c>
      <c r="C168" t="s">
        <v>652</v>
      </c>
      <c r="D168" s="21" t="str">
        <f>_xlfn.IFNA(VLOOKUP(A168,'[1]Validacion CPUs'!C:H,6,FALSE),_xlfn.IFNA(VLOOKUP(A168,'[1]Validacion TP'!A:H,8,FALSE),VLOOKUP(A168,'[1]Validacion UPS'!A:H,8,FALSE)))</f>
        <v>UPS</v>
      </c>
    </row>
    <row r="169" spans="1:4" x14ac:dyDescent="0.3">
      <c r="A169" s="17" t="s">
        <v>250</v>
      </c>
      <c r="B169" t="s">
        <v>249</v>
      </c>
      <c r="C169" t="s">
        <v>652</v>
      </c>
      <c r="D169" s="21" t="str">
        <f>_xlfn.IFNA(VLOOKUP(A169,'[1]Validacion CPUs'!C:H,6,FALSE),_xlfn.IFNA(VLOOKUP(A169,'[1]Validacion TP'!A:H,8,FALSE),VLOOKUP(A169,'[1]Validacion UPS'!A:H,8,FALSE)))</f>
        <v>COMPUTADORA DE ESCRITORIO</v>
      </c>
    </row>
    <row r="170" spans="1:4" x14ac:dyDescent="0.3">
      <c r="A170" s="17" t="s">
        <v>254</v>
      </c>
      <c r="B170" t="s">
        <v>683</v>
      </c>
      <c r="C170" t="s">
        <v>652</v>
      </c>
      <c r="D170" s="21" t="str">
        <f>_xlfn.IFNA(VLOOKUP(A170,'[1]Validacion CPUs'!C:H,6,FALSE),_xlfn.IFNA(VLOOKUP(A170,'[1]Validacion TP'!A:H,8,FALSE),VLOOKUP(A170,'[1]Validacion UPS'!A:H,8,FALSE)))</f>
        <v>COMPUTADORA DE ESCRITORIO</v>
      </c>
    </row>
    <row r="171" spans="1:4" x14ac:dyDescent="0.3">
      <c r="A171" s="17" t="s">
        <v>258</v>
      </c>
      <c r="B171" t="s">
        <v>255</v>
      </c>
      <c r="C171" t="s">
        <v>652</v>
      </c>
      <c r="D171" s="21" t="str">
        <f>_xlfn.IFNA(VLOOKUP(A171,'[1]Validacion CPUs'!C:H,6,FALSE),_xlfn.IFNA(VLOOKUP(A171,'[1]Validacion TP'!A:H,8,FALSE),VLOOKUP(A171,'[1]Validacion UPS'!A:H,8,FALSE)))</f>
        <v>UPS</v>
      </c>
    </row>
    <row r="172" spans="1:4" x14ac:dyDescent="0.3">
      <c r="A172" s="17" t="s">
        <v>257</v>
      </c>
      <c r="B172" t="s">
        <v>255</v>
      </c>
      <c r="C172" t="s">
        <v>652</v>
      </c>
      <c r="D172" s="21" t="str">
        <f>_xlfn.IFNA(VLOOKUP(A172,'[1]Validacion CPUs'!C:H,6,FALSE),_xlfn.IFNA(VLOOKUP(A172,'[1]Validacion TP'!A:H,8,FALSE),VLOOKUP(A172,'[1]Validacion UPS'!A:H,8,FALSE)))</f>
        <v>COMPUTADORA DE ESCRITORIO</v>
      </c>
    </row>
    <row r="173" spans="1:4" x14ac:dyDescent="0.3">
      <c r="A173" s="17" t="s">
        <v>240</v>
      </c>
      <c r="B173" t="s">
        <v>255</v>
      </c>
      <c r="C173" t="s">
        <v>652</v>
      </c>
      <c r="D173" s="21" t="str">
        <f>_xlfn.IFNA(VLOOKUP(A173,'[1]Validacion CPUs'!C:H,6,FALSE),_xlfn.IFNA(VLOOKUP(A173,'[1]Validacion TP'!A:H,8,FALSE),VLOOKUP(A173,'[1]Validacion UPS'!A:H,8,FALSE)))</f>
        <v>UPS</v>
      </c>
    </row>
    <row r="174" spans="1:4" x14ac:dyDescent="0.3">
      <c r="A174" s="17" t="s">
        <v>259</v>
      </c>
      <c r="B174" t="s">
        <v>684</v>
      </c>
      <c r="C174" t="s">
        <v>652</v>
      </c>
      <c r="D174" s="21" t="str">
        <f>_xlfn.IFNA(VLOOKUP(A174,'[1]Validacion CPUs'!C:H,6,FALSE),_xlfn.IFNA(VLOOKUP(A174,'[1]Validacion TP'!A:H,8,FALSE),VLOOKUP(A174,'[1]Validacion UPS'!A:H,8,FALSE)))</f>
        <v>COMPUTADORA DE ESCRITORIO</v>
      </c>
    </row>
    <row r="175" spans="1:4" x14ac:dyDescent="0.3">
      <c r="A175" s="17" t="s">
        <v>260</v>
      </c>
      <c r="B175" t="s">
        <v>256</v>
      </c>
      <c r="C175" t="s">
        <v>652</v>
      </c>
      <c r="D175" s="21" t="str">
        <f>_xlfn.IFNA(VLOOKUP(A175,'[1]Validacion CPUs'!C:H,6,FALSE),_xlfn.IFNA(VLOOKUP(A175,'[1]Validacion TP'!A:H,8,FALSE),VLOOKUP(A175,'[1]Validacion UPS'!A:H,8,FALSE)))</f>
        <v>UPS</v>
      </c>
    </row>
    <row r="176" spans="1:4" x14ac:dyDescent="0.3">
      <c r="A176" s="16" t="s">
        <v>261</v>
      </c>
      <c r="B176" t="s">
        <v>265</v>
      </c>
      <c r="C176" t="s">
        <v>652</v>
      </c>
      <c r="D176" s="21" t="str">
        <f>_xlfn.IFNA(VLOOKUP(A176,'[1]Validacion CPUs'!C:H,6,FALSE),_xlfn.IFNA(VLOOKUP(A176,'[1]Validacion TP'!A:H,8,FALSE),VLOOKUP(A176,'[1]Validacion UPS'!A:H,8,FALSE)))</f>
        <v>UPS</v>
      </c>
    </row>
    <row r="177" spans="1:4" x14ac:dyDescent="0.3">
      <c r="A177" s="16" t="s">
        <v>264</v>
      </c>
      <c r="B177" t="s">
        <v>262</v>
      </c>
      <c r="C177" t="s">
        <v>652</v>
      </c>
      <c r="D177" s="21" t="str">
        <f>_xlfn.IFNA(VLOOKUP(A177,'[1]Validacion CPUs'!C:H,6,FALSE),_xlfn.IFNA(VLOOKUP(A177,'[1]Validacion TP'!A:H,8,FALSE),VLOOKUP(A177,'[1]Validacion UPS'!A:H,8,FALSE)))</f>
        <v>COMPUTADORA DE ESCRITORIO</v>
      </c>
    </row>
    <row r="178" spans="1:4" x14ac:dyDescent="0.3">
      <c r="A178" s="16" t="s">
        <v>266</v>
      </c>
      <c r="B178" t="s">
        <v>247</v>
      </c>
      <c r="C178" t="s">
        <v>652</v>
      </c>
      <c r="D178" s="21" t="str">
        <f>_xlfn.IFNA(VLOOKUP(A178,'[1]Validacion CPUs'!C:H,6,FALSE),_xlfn.IFNA(VLOOKUP(A178,'[1]Validacion TP'!A:H,8,FALSE),VLOOKUP(A178,'[1]Validacion UPS'!A:H,8,FALSE)))</f>
        <v>UPS</v>
      </c>
    </row>
    <row r="179" spans="1:4" x14ac:dyDescent="0.3">
      <c r="A179" s="16" t="s">
        <v>263</v>
      </c>
      <c r="B179" t="s">
        <v>247</v>
      </c>
      <c r="C179" t="s">
        <v>652</v>
      </c>
      <c r="D179" s="21" t="str">
        <f>_xlfn.IFNA(VLOOKUP(A179,'[1]Validacion CPUs'!C:H,6,FALSE),_xlfn.IFNA(VLOOKUP(A179,'[1]Validacion TP'!A:H,8,FALSE),VLOOKUP(A179,'[1]Validacion UPS'!A:H,8,FALSE)))</f>
        <v>COMPUTADORA DE ESCRITORIO</v>
      </c>
    </row>
    <row r="180" spans="1:4" x14ac:dyDescent="0.3">
      <c r="A180" s="16" t="s">
        <v>272</v>
      </c>
      <c r="B180" t="s">
        <v>685</v>
      </c>
      <c r="C180" s="14" t="s">
        <v>657</v>
      </c>
      <c r="D180" s="21" t="str">
        <f>_xlfn.IFNA(VLOOKUP(A180,'[1]Validacion CPUs'!C:H,6,FALSE),_xlfn.IFNA(VLOOKUP(A180,'[1]Validacion TP'!A:H,8,FALSE),VLOOKUP(A180,'[1]Validacion UPS'!A:H,8,FALSE)))</f>
        <v>IMPRESORA TERMICA</v>
      </c>
    </row>
    <row r="181" spans="1:4" x14ac:dyDescent="0.3">
      <c r="A181" s="18" t="s">
        <v>640</v>
      </c>
      <c r="B181" t="s">
        <v>685</v>
      </c>
      <c r="C181" s="14" t="s">
        <v>657</v>
      </c>
      <c r="D181" s="21" t="str">
        <f>_xlfn.IFNA(VLOOKUP(A181,'[1]Validacion CPUs'!C:H,6,FALSE),_xlfn.IFNA(VLOOKUP(A181,'[1]Validacion TP'!A:H,8,FALSE),VLOOKUP(A181,'[1]Validacion UPS'!A:H,8,FALSE)))</f>
        <v>COMPUTADORA DE ESCRITORIO</v>
      </c>
    </row>
    <row r="182" spans="1:4" ht="28.8" x14ac:dyDescent="0.3">
      <c r="A182" s="18" t="s">
        <v>273</v>
      </c>
      <c r="B182" t="s">
        <v>685</v>
      </c>
      <c r="C182" s="14" t="s">
        <v>657</v>
      </c>
      <c r="D182" s="21" t="str">
        <f>_xlfn.IFNA(VLOOKUP(A182,'[1]Validacion CPUs'!C:H,6,FALSE),_xlfn.IFNA(VLOOKUP(A182,'[1]Validacion TP'!A:H,8,FALSE),VLOOKUP(A182,'[1]Validacion UPS'!A:H,8,FALSE)))</f>
        <v>UPS</v>
      </c>
    </row>
    <row r="183" spans="1:4" x14ac:dyDescent="0.3">
      <c r="A183" s="18" t="s">
        <v>641</v>
      </c>
      <c r="B183" t="s">
        <v>275</v>
      </c>
      <c r="C183" s="14" t="s">
        <v>657</v>
      </c>
      <c r="D183" s="21" t="str">
        <f>_xlfn.IFNA(VLOOKUP(A183,'[1]Validacion CPUs'!C:H,6,FALSE),_xlfn.IFNA(VLOOKUP(A183,'[1]Validacion TP'!A:H,8,FALSE),VLOOKUP(A183,'[1]Validacion UPS'!A:H,8,FALSE)))</f>
        <v>COMPUTADORA DE ESCRITORIO</v>
      </c>
    </row>
    <row r="184" spans="1:4" x14ac:dyDescent="0.3">
      <c r="A184" s="16" t="s">
        <v>609</v>
      </c>
      <c r="B184" t="s">
        <v>275</v>
      </c>
      <c r="C184" s="14" t="s">
        <v>657</v>
      </c>
      <c r="D184" s="21" t="str">
        <f>_xlfn.IFNA(VLOOKUP(A184,'[1]Validacion CPUs'!C:H,6,FALSE),_xlfn.IFNA(VLOOKUP(A184,'[1]Validacion TP'!A:H,8,FALSE),VLOOKUP(A184,'[1]Validacion UPS'!A:H,8,FALSE)))</f>
        <v>IMPRESORA TERMICA</v>
      </c>
    </row>
    <row r="185" spans="1:4" x14ac:dyDescent="0.3">
      <c r="A185" s="16" t="s">
        <v>278</v>
      </c>
      <c r="B185" t="s">
        <v>275</v>
      </c>
      <c r="C185" s="14" t="s">
        <v>657</v>
      </c>
      <c r="D185" s="21" t="str">
        <f>_xlfn.IFNA(VLOOKUP(A185,'[1]Validacion CPUs'!C:H,6,FALSE),_xlfn.IFNA(VLOOKUP(A185,'[1]Validacion TP'!A:H,8,FALSE),VLOOKUP(A185,'[1]Validacion UPS'!A:H,8,FALSE)))</f>
        <v>UPS</v>
      </c>
    </row>
    <row r="186" spans="1:4" x14ac:dyDescent="0.3">
      <c r="A186" s="16" t="s">
        <v>280</v>
      </c>
      <c r="B186" t="s">
        <v>279</v>
      </c>
      <c r="C186" t="s">
        <v>651</v>
      </c>
      <c r="D186" s="21" t="str">
        <f>_xlfn.IFNA(VLOOKUP(A186,'[1]Validacion CPUs'!C:H,6,FALSE),_xlfn.IFNA(VLOOKUP(A186,'[1]Validacion TP'!A:H,8,FALSE),VLOOKUP(A186,'[1]Validacion UPS'!A:H,8,FALSE)))</f>
        <v>UPS</v>
      </c>
    </row>
    <row r="187" spans="1:4" x14ac:dyDescent="0.3">
      <c r="A187" s="16" t="s">
        <v>283</v>
      </c>
      <c r="B187" t="s">
        <v>281</v>
      </c>
      <c r="C187" s="14" t="s">
        <v>657</v>
      </c>
      <c r="D187" s="21" t="str">
        <f>_xlfn.IFNA(VLOOKUP(A187,'[1]Validacion CPUs'!C:H,6,FALSE),_xlfn.IFNA(VLOOKUP(A187,'[1]Validacion TP'!A:H,8,FALSE),VLOOKUP(A187,'[1]Validacion UPS'!A:H,8,FALSE)))</f>
        <v>IMPRESORA TERMICA</v>
      </c>
    </row>
    <row r="188" spans="1:4" x14ac:dyDescent="0.3">
      <c r="A188" s="16" t="s">
        <v>282</v>
      </c>
      <c r="B188" t="s">
        <v>281</v>
      </c>
      <c r="C188" s="14" t="s">
        <v>657</v>
      </c>
      <c r="D188" s="21" t="str">
        <f>_xlfn.IFNA(VLOOKUP(A188,'[1]Validacion CPUs'!C:H,6,FALSE),_xlfn.IFNA(VLOOKUP(A188,'[1]Validacion TP'!A:H,8,FALSE),VLOOKUP(A188,'[1]Validacion UPS'!A:H,8,FALSE)))</f>
        <v>COMPUTADORA DE ESCRITORIO</v>
      </c>
    </row>
    <row r="189" spans="1:4" x14ac:dyDescent="0.3">
      <c r="A189" s="16" t="s">
        <v>284</v>
      </c>
      <c r="B189" t="s">
        <v>686</v>
      </c>
      <c r="C189" t="s">
        <v>657</v>
      </c>
      <c r="D189" s="21" t="str">
        <f>_xlfn.IFNA(VLOOKUP(A189,'[1]Validacion CPUs'!C:H,6,FALSE),_xlfn.IFNA(VLOOKUP(A189,'[1]Validacion TP'!A:H,8,FALSE),VLOOKUP(A189,'[1]Validacion UPS'!A:H,8,FALSE)))</f>
        <v>UPS</v>
      </c>
    </row>
    <row r="190" spans="1:4" x14ac:dyDescent="0.3">
      <c r="A190" s="16" t="s">
        <v>534</v>
      </c>
      <c r="B190" t="s">
        <v>687</v>
      </c>
      <c r="C190" t="s">
        <v>651</v>
      </c>
      <c r="D190" s="21" t="str">
        <f>_xlfn.IFNA(VLOOKUP(A190,'[1]Validacion CPUs'!C:H,6,FALSE),_xlfn.IFNA(VLOOKUP(A190,'[1]Validacion TP'!A:H,8,FALSE),VLOOKUP(A190,'[1]Validacion UPS'!A:H,8,FALSE)))</f>
        <v>UPS</v>
      </c>
    </row>
    <row r="191" spans="1:4" x14ac:dyDescent="0.3">
      <c r="A191" s="17" t="s">
        <v>185</v>
      </c>
      <c r="B191" t="s">
        <v>688</v>
      </c>
      <c r="C191" t="s">
        <v>651</v>
      </c>
      <c r="D191" s="21" t="str">
        <f>_xlfn.IFNA(VLOOKUP(A191,'[1]Validacion CPUs'!C:H,6,FALSE),_xlfn.IFNA(VLOOKUP(A191,'[1]Validacion TP'!A:H,8,FALSE),VLOOKUP(A191,'[1]Validacion UPS'!A:H,8,FALSE)))</f>
        <v>UPS</v>
      </c>
    </row>
    <row r="192" spans="1:4" x14ac:dyDescent="0.3">
      <c r="A192" s="17" t="s">
        <v>628</v>
      </c>
      <c r="B192" t="s">
        <v>689</v>
      </c>
      <c r="C192" t="s">
        <v>651</v>
      </c>
      <c r="D192" s="21" t="str">
        <f>_xlfn.IFNA(VLOOKUP(A192,'[1]Validacion CPUs'!C:H,6,FALSE),_xlfn.IFNA(VLOOKUP(A192,'[1]Validacion TP'!A:H,8,FALSE),VLOOKUP(A192,'[1]Validacion UPS'!A:H,8,FALSE)))</f>
        <v>COMPUTADORA DE ESCRITORIO</v>
      </c>
    </row>
    <row r="193" spans="1:4" x14ac:dyDescent="0.3">
      <c r="A193" s="17" t="s">
        <v>629</v>
      </c>
      <c r="B193" t="s">
        <v>690</v>
      </c>
      <c r="C193" t="s">
        <v>651</v>
      </c>
      <c r="D193" s="21" t="str">
        <f>_xlfn.IFNA(VLOOKUP(A193,'[1]Validacion CPUs'!C:H,6,FALSE),_xlfn.IFNA(VLOOKUP(A193,'[1]Validacion TP'!A:H,8,FALSE),VLOOKUP(A193,'[1]Validacion UPS'!A:H,8,FALSE)))</f>
        <v>COMPUTADORA DE ESCRITORIO</v>
      </c>
    </row>
    <row r="194" spans="1:4" x14ac:dyDescent="0.3">
      <c r="A194" s="17" t="s">
        <v>286</v>
      </c>
      <c r="B194" t="s">
        <v>285</v>
      </c>
      <c r="C194" s="14" t="s">
        <v>657</v>
      </c>
      <c r="D194" s="21" t="str">
        <f>_xlfn.IFNA(VLOOKUP(A194,'[1]Validacion CPUs'!C:H,6,FALSE),_xlfn.IFNA(VLOOKUP(A194,'[1]Validacion TP'!A:H,8,FALSE),VLOOKUP(A194,'[1]Validacion UPS'!A:H,8,FALSE)))</f>
        <v>IMPRESORA TERMICA</v>
      </c>
    </row>
    <row r="195" spans="1:4" x14ac:dyDescent="0.3">
      <c r="A195" s="17" t="s">
        <v>634</v>
      </c>
      <c r="B195" t="s">
        <v>285</v>
      </c>
      <c r="C195" s="14" t="s">
        <v>657</v>
      </c>
      <c r="D195" s="21" t="str">
        <f>_xlfn.IFNA(VLOOKUP(A195,'[1]Validacion CPUs'!C:H,6,FALSE),_xlfn.IFNA(VLOOKUP(A195,'[1]Validacion TP'!A:H,8,FALSE),VLOOKUP(A195,'[1]Validacion UPS'!A:H,8,FALSE)))</f>
        <v>COMPUTADORA DE ESCRITORIO</v>
      </c>
    </row>
    <row r="196" spans="1:4" x14ac:dyDescent="0.3">
      <c r="A196" s="17" t="s">
        <v>290</v>
      </c>
      <c r="B196" t="s">
        <v>288</v>
      </c>
      <c r="C196" s="14" t="s">
        <v>657</v>
      </c>
      <c r="D196" s="21" t="str">
        <f>_xlfn.IFNA(VLOOKUP(A196,'[1]Validacion CPUs'!C:H,6,FALSE),_xlfn.IFNA(VLOOKUP(A196,'[1]Validacion TP'!A:H,8,FALSE),VLOOKUP(A196,'[1]Validacion UPS'!A:H,8,FALSE)))</f>
        <v>IMPRESORA TERMICA</v>
      </c>
    </row>
    <row r="197" spans="1:4" x14ac:dyDescent="0.3">
      <c r="A197" s="17" t="s">
        <v>291</v>
      </c>
      <c r="B197" t="s">
        <v>288</v>
      </c>
      <c r="C197" s="14" t="s">
        <v>657</v>
      </c>
      <c r="D197" s="21" t="str">
        <f>_xlfn.IFNA(VLOOKUP(A197,'[1]Validacion CPUs'!C:H,6,FALSE),_xlfn.IFNA(VLOOKUP(A197,'[1]Validacion TP'!A:H,8,FALSE),VLOOKUP(A197,'[1]Validacion UPS'!A:H,8,FALSE)))</f>
        <v>UPS</v>
      </c>
    </row>
    <row r="198" spans="1:4" x14ac:dyDescent="0.3">
      <c r="A198" s="17" t="s">
        <v>289</v>
      </c>
      <c r="B198" t="s">
        <v>288</v>
      </c>
      <c r="C198" s="14" t="s">
        <v>657</v>
      </c>
      <c r="D198" s="21" t="str">
        <f>_xlfn.IFNA(VLOOKUP(A198,'[1]Validacion CPUs'!C:H,6,FALSE),_xlfn.IFNA(VLOOKUP(A198,'[1]Validacion TP'!A:H,8,FALSE),VLOOKUP(A198,'[1]Validacion UPS'!A:H,8,FALSE)))</f>
        <v>COMPUTADORA DE ESCRITORIO</v>
      </c>
    </row>
    <row r="199" spans="1:4" x14ac:dyDescent="0.3">
      <c r="A199" s="17" t="s">
        <v>296</v>
      </c>
      <c r="B199" t="s">
        <v>294</v>
      </c>
      <c r="C199" s="14" t="s">
        <v>657</v>
      </c>
      <c r="D199" s="21" t="str">
        <f>_xlfn.IFNA(VLOOKUP(A199,'[1]Validacion CPUs'!C:H,6,FALSE),_xlfn.IFNA(VLOOKUP(A199,'[1]Validacion TP'!A:H,8,FALSE),VLOOKUP(A199,'[1]Validacion UPS'!A:H,8,FALSE)))</f>
        <v>IMPRESORA TERMICA</v>
      </c>
    </row>
    <row r="200" spans="1:4" x14ac:dyDescent="0.3">
      <c r="A200" s="17" t="s">
        <v>691</v>
      </c>
      <c r="B200" t="s">
        <v>294</v>
      </c>
      <c r="C200" s="14" t="s">
        <v>657</v>
      </c>
      <c r="D200" s="21" t="str">
        <f>_xlfn.IFNA(VLOOKUP(A200,'[1]Validacion CPUs'!C:H,6,FALSE),_xlfn.IFNA(VLOOKUP(A200,'[1]Validacion TP'!A:H,8,FALSE),VLOOKUP(A200,'[1]Validacion UPS'!A:H,8,FALSE)))</f>
        <v>COMPUTADORA DE ESCRITORIO</v>
      </c>
    </row>
    <row r="201" spans="1:4" x14ac:dyDescent="0.3">
      <c r="A201" s="17" t="s">
        <v>297</v>
      </c>
      <c r="B201" t="s">
        <v>294</v>
      </c>
      <c r="C201" s="14" t="s">
        <v>657</v>
      </c>
      <c r="D201" s="21" t="str">
        <f>_xlfn.IFNA(VLOOKUP(A201,'[1]Validacion CPUs'!C:H,6,FALSE),_xlfn.IFNA(VLOOKUP(A201,'[1]Validacion TP'!A:H,8,FALSE),VLOOKUP(A201,'[1]Validacion UPS'!A:H,8,FALSE)))</f>
        <v>UPS</v>
      </c>
    </row>
    <row r="202" spans="1:4" x14ac:dyDescent="0.3">
      <c r="A202" s="17" t="s">
        <v>140</v>
      </c>
      <c r="B202" t="s">
        <v>298</v>
      </c>
      <c r="C202" s="14" t="s">
        <v>657</v>
      </c>
      <c r="D202" s="21" t="str">
        <f>_xlfn.IFNA(VLOOKUP(A202,'[1]Validacion CPUs'!C:H,6,FALSE),_xlfn.IFNA(VLOOKUP(A202,'[1]Validacion TP'!A:H,8,FALSE),VLOOKUP(A202,'[1]Validacion UPS'!A:H,8,FALSE)))</f>
        <v>IMPRESORA TERMICA</v>
      </c>
    </row>
    <row r="203" spans="1:4" x14ac:dyDescent="0.3">
      <c r="A203" s="17" t="s">
        <v>637</v>
      </c>
      <c r="B203" t="s">
        <v>298</v>
      </c>
      <c r="C203" s="14" t="s">
        <v>657</v>
      </c>
      <c r="D203" s="21" t="str">
        <f>_xlfn.IFNA(VLOOKUP(A203,'[1]Validacion CPUs'!C:H,6,FALSE),_xlfn.IFNA(VLOOKUP(A203,'[1]Validacion TP'!A:H,8,FALSE),VLOOKUP(A203,'[1]Validacion UPS'!A:H,8,FALSE)))</f>
        <v>COMPUTADORA DE ESCRITORIO</v>
      </c>
    </row>
    <row r="204" spans="1:4" x14ac:dyDescent="0.3">
      <c r="A204" s="17" t="s">
        <v>300</v>
      </c>
      <c r="B204" t="s">
        <v>298</v>
      </c>
      <c r="C204" s="14" t="s">
        <v>657</v>
      </c>
      <c r="D204" s="21" t="str">
        <f>_xlfn.IFNA(VLOOKUP(A204,'[1]Validacion CPUs'!C:H,6,FALSE),_xlfn.IFNA(VLOOKUP(A204,'[1]Validacion TP'!A:H,8,FALSE),VLOOKUP(A204,'[1]Validacion UPS'!A:H,8,FALSE)))</f>
        <v>UPS</v>
      </c>
    </row>
    <row r="205" spans="1:4" x14ac:dyDescent="0.3">
      <c r="A205" s="17" t="s">
        <v>303</v>
      </c>
      <c r="B205" t="s">
        <v>301</v>
      </c>
      <c r="C205" s="14" t="s">
        <v>657</v>
      </c>
      <c r="D205" s="21" t="str">
        <f>_xlfn.IFNA(VLOOKUP(A205,'[1]Validacion CPUs'!C:H,6,FALSE),_xlfn.IFNA(VLOOKUP(A205,'[1]Validacion TP'!A:H,8,FALSE),VLOOKUP(A205,'[1]Validacion UPS'!A:H,8,FALSE)))</f>
        <v>IMPRESORA TERMICA</v>
      </c>
    </row>
    <row r="206" spans="1:4" x14ac:dyDescent="0.3">
      <c r="A206" s="17" t="s">
        <v>631</v>
      </c>
      <c r="B206" t="s">
        <v>301</v>
      </c>
      <c r="C206" s="14" t="s">
        <v>657</v>
      </c>
      <c r="D206" s="21" t="str">
        <f>_xlfn.IFNA(VLOOKUP(A206,'[1]Validacion CPUs'!C:H,6,FALSE),_xlfn.IFNA(VLOOKUP(A206,'[1]Validacion TP'!A:H,8,FALSE),VLOOKUP(A206,'[1]Validacion UPS'!A:H,8,FALSE)))</f>
        <v>COMPUTADORA DE ESCRITORIO</v>
      </c>
    </row>
    <row r="207" spans="1:4" x14ac:dyDescent="0.3">
      <c r="A207" s="17" t="s">
        <v>304</v>
      </c>
      <c r="B207" t="s">
        <v>301</v>
      </c>
      <c r="C207" s="14" t="s">
        <v>657</v>
      </c>
      <c r="D207" s="21" t="str">
        <f>_xlfn.IFNA(VLOOKUP(A207,'[1]Validacion CPUs'!C:H,6,FALSE),_xlfn.IFNA(VLOOKUP(A207,'[1]Validacion TP'!A:H,8,FALSE),VLOOKUP(A207,'[1]Validacion UPS'!A:H,8,FALSE)))</f>
        <v>UPS</v>
      </c>
    </row>
    <row r="208" spans="1:4" x14ac:dyDescent="0.3">
      <c r="A208" s="17" t="s">
        <v>309</v>
      </c>
      <c r="B208" t="s">
        <v>307</v>
      </c>
      <c r="C208" s="14" t="s">
        <v>657</v>
      </c>
      <c r="D208" s="21" t="str">
        <f>_xlfn.IFNA(VLOOKUP(A208,'[1]Validacion CPUs'!C:H,6,FALSE),_xlfn.IFNA(VLOOKUP(A208,'[1]Validacion TP'!A:H,8,FALSE),VLOOKUP(A208,'[1]Validacion UPS'!A:H,8,FALSE)))</f>
        <v>IMPRESORA TERMICA</v>
      </c>
    </row>
    <row r="209" spans="1:4" x14ac:dyDescent="0.3">
      <c r="A209" s="17" t="s">
        <v>639</v>
      </c>
      <c r="B209" t="s">
        <v>307</v>
      </c>
      <c r="C209" s="14" t="s">
        <v>657</v>
      </c>
      <c r="D209" s="21" t="str">
        <f>_xlfn.IFNA(VLOOKUP(A209,'[1]Validacion CPUs'!C:H,6,FALSE),_xlfn.IFNA(VLOOKUP(A209,'[1]Validacion TP'!A:H,8,FALSE),VLOOKUP(A209,'[1]Validacion UPS'!A:H,8,FALSE)))</f>
        <v>COMPUTADORA DE ESCRITORIO</v>
      </c>
    </row>
    <row r="210" spans="1:4" x14ac:dyDescent="0.3">
      <c r="A210" s="17" t="s">
        <v>410</v>
      </c>
      <c r="B210" t="s">
        <v>692</v>
      </c>
      <c r="C210" s="14" t="s">
        <v>657</v>
      </c>
      <c r="D210" s="21" t="str">
        <f>_xlfn.IFNA(VLOOKUP(A210,'[1]Validacion CPUs'!C:H,6,FALSE),_xlfn.IFNA(VLOOKUP(A210,'[1]Validacion TP'!A:H,8,FALSE),VLOOKUP(A210,'[1]Validacion UPS'!A:H,8,FALSE)))</f>
        <v>IMPRESORA TERMICA</v>
      </c>
    </row>
    <row r="211" spans="1:4" x14ac:dyDescent="0.3">
      <c r="A211" s="17" t="s">
        <v>408</v>
      </c>
      <c r="B211" t="s">
        <v>692</v>
      </c>
      <c r="C211" s="14" t="s">
        <v>657</v>
      </c>
      <c r="D211" s="21" t="str">
        <f>_xlfn.IFNA(VLOOKUP(A211,'[1]Validacion CPUs'!C:H,6,FALSE),_xlfn.IFNA(VLOOKUP(A211,'[1]Validacion TP'!A:H,8,FALSE),VLOOKUP(A211,'[1]Validacion UPS'!A:H,8,FALSE)))</f>
        <v>COMPUTADORA DE ESCRITORIO</v>
      </c>
    </row>
    <row r="212" spans="1:4" x14ac:dyDescent="0.3">
      <c r="A212" s="17" t="s">
        <v>411</v>
      </c>
      <c r="B212" t="s">
        <v>692</v>
      </c>
      <c r="C212" s="14" t="s">
        <v>657</v>
      </c>
      <c r="D212" s="21" t="str">
        <f>_xlfn.IFNA(VLOOKUP(A212,'[1]Validacion CPUs'!C:H,6,FALSE),_xlfn.IFNA(VLOOKUP(A212,'[1]Validacion TP'!A:H,8,FALSE),VLOOKUP(A212,'[1]Validacion UPS'!A:H,8,FALSE)))</f>
        <v>UPS</v>
      </c>
    </row>
    <row r="213" spans="1:4" x14ac:dyDescent="0.3">
      <c r="A213" s="17" t="s">
        <v>313</v>
      </c>
      <c r="B213" t="s">
        <v>311</v>
      </c>
      <c r="C213" s="14" t="s">
        <v>657</v>
      </c>
      <c r="D213" s="21" t="str">
        <f>_xlfn.IFNA(VLOOKUP(A213,'[1]Validacion CPUs'!C:H,6,FALSE),_xlfn.IFNA(VLOOKUP(A213,'[1]Validacion TP'!A:H,8,FALSE),VLOOKUP(A213,'[1]Validacion UPS'!A:H,8,FALSE)))</f>
        <v>IMPRESORA TERMICA</v>
      </c>
    </row>
    <row r="214" spans="1:4" x14ac:dyDescent="0.3">
      <c r="A214" s="17" t="s">
        <v>645</v>
      </c>
      <c r="B214" t="s">
        <v>311</v>
      </c>
      <c r="C214" s="14" t="s">
        <v>657</v>
      </c>
      <c r="D214" s="21" t="str">
        <f>_xlfn.IFNA(VLOOKUP(A214,'[1]Validacion CPUs'!C:H,6,FALSE),_xlfn.IFNA(VLOOKUP(A214,'[1]Validacion TP'!A:H,8,FALSE),VLOOKUP(A214,'[1]Validacion UPS'!A:H,8,FALSE)))</f>
        <v>COMPUTADORA DE ESCRITORIO</v>
      </c>
    </row>
    <row r="215" spans="1:4" x14ac:dyDescent="0.3">
      <c r="A215" s="17" t="s">
        <v>314</v>
      </c>
      <c r="B215" t="s">
        <v>311</v>
      </c>
      <c r="C215" s="14" t="s">
        <v>657</v>
      </c>
      <c r="D215" s="21" t="e">
        <f>_xlfn.IFNA(VLOOKUP(A215,'[1]Validacion CPUs'!C:H,6,FALSE),_xlfn.IFNA(VLOOKUP(A215,'[1]Validacion TP'!A:H,8,FALSE),VLOOKUP(A215,'[1]Validacion UPS'!A:H,8,FALSE)))</f>
        <v>#N/A</v>
      </c>
    </row>
    <row r="216" spans="1:4" x14ac:dyDescent="0.3">
      <c r="A216" s="17" t="s">
        <v>319</v>
      </c>
      <c r="B216" t="s">
        <v>318</v>
      </c>
      <c r="C216" s="14" t="s">
        <v>657</v>
      </c>
      <c r="D216" s="21" t="str">
        <f>_xlfn.IFNA(VLOOKUP(A216,'[1]Validacion CPUs'!C:H,6,FALSE),_xlfn.IFNA(VLOOKUP(A216,'[1]Validacion TP'!A:H,8,FALSE),VLOOKUP(A216,'[1]Validacion UPS'!A:H,8,FALSE)))</f>
        <v>IMPRESORA TERMICA</v>
      </c>
    </row>
    <row r="217" spans="1:4" x14ac:dyDescent="0.3">
      <c r="A217" s="17" t="s">
        <v>320</v>
      </c>
      <c r="B217" t="s">
        <v>318</v>
      </c>
      <c r="C217" s="14" t="s">
        <v>657</v>
      </c>
      <c r="D217" s="21" t="str">
        <f>_xlfn.IFNA(VLOOKUP(A217,'[1]Validacion CPUs'!C:H,6,FALSE),_xlfn.IFNA(VLOOKUP(A217,'[1]Validacion TP'!A:H,8,FALSE),VLOOKUP(A217,'[1]Validacion UPS'!A:H,8,FALSE)))</f>
        <v>UPS</v>
      </c>
    </row>
    <row r="218" spans="1:4" x14ac:dyDescent="0.3">
      <c r="A218" s="17" t="s">
        <v>317</v>
      </c>
      <c r="B218" t="s">
        <v>318</v>
      </c>
      <c r="C218" s="14" t="s">
        <v>657</v>
      </c>
      <c r="D218" s="21" t="str">
        <f>_xlfn.IFNA(VLOOKUP(A218,'[1]Validacion CPUs'!C:H,6,FALSE),_xlfn.IFNA(VLOOKUP(A218,'[1]Validacion TP'!A:H,8,FALSE),VLOOKUP(A218,'[1]Validacion UPS'!A:H,8,FALSE)))</f>
        <v>COMPUTADORA DE ESCRITORIO</v>
      </c>
    </row>
    <row r="219" spans="1:4" x14ac:dyDescent="0.3">
      <c r="A219" s="17" t="s">
        <v>316</v>
      </c>
      <c r="B219" t="s">
        <v>315</v>
      </c>
      <c r="C219" t="s">
        <v>651</v>
      </c>
      <c r="D219" s="21" t="str">
        <f>_xlfn.IFNA(VLOOKUP(A219,'[1]Validacion CPUs'!C:H,6,FALSE),_xlfn.IFNA(VLOOKUP(A219,'[1]Validacion TP'!A:H,8,FALSE),VLOOKUP(A219,'[1]Validacion UPS'!A:H,8,FALSE)))</f>
        <v>UPS</v>
      </c>
    </row>
    <row r="220" spans="1:4" x14ac:dyDescent="0.3">
      <c r="A220" s="17" t="s">
        <v>552</v>
      </c>
      <c r="B220" t="s">
        <v>693</v>
      </c>
      <c r="C220" t="s">
        <v>651</v>
      </c>
      <c r="D220" s="21" t="str">
        <f>_xlfn.IFNA(VLOOKUP(A220,'[1]Validacion CPUs'!C:H,6,FALSE),_xlfn.IFNA(VLOOKUP(A220,'[1]Validacion TP'!A:H,8,FALSE),VLOOKUP(A220,'[1]Validacion UPS'!A:H,8,FALSE)))</f>
        <v>UPS</v>
      </c>
    </row>
    <row r="221" spans="1:4" x14ac:dyDescent="0.3">
      <c r="A221" s="17" t="s">
        <v>553</v>
      </c>
      <c r="B221" t="s">
        <v>694</v>
      </c>
      <c r="C221" t="s">
        <v>651</v>
      </c>
      <c r="D221" s="21" t="str">
        <f>_xlfn.IFNA(VLOOKUP(A221,'[1]Validacion CPUs'!C:H,6,FALSE),_xlfn.IFNA(VLOOKUP(A221,'[1]Validacion TP'!A:H,8,FALSE),VLOOKUP(A221,'[1]Validacion UPS'!A:H,8,FALSE)))</f>
        <v>UPS</v>
      </c>
    </row>
    <row r="222" spans="1:4" x14ac:dyDescent="0.3">
      <c r="A222" s="17" t="s">
        <v>203</v>
      </c>
      <c r="B222" t="s">
        <v>695</v>
      </c>
      <c r="C222" t="s">
        <v>651</v>
      </c>
      <c r="D222" s="21" t="str">
        <f>_xlfn.IFNA(VLOOKUP(A222,'[1]Validacion CPUs'!C:H,6,FALSE),_xlfn.IFNA(VLOOKUP(A222,'[1]Validacion TP'!A:H,8,FALSE),VLOOKUP(A222,'[1]Validacion UPS'!A:H,8,FALSE)))</f>
        <v>COMPUTADORA DE ESCRITORIO</v>
      </c>
    </row>
    <row r="223" spans="1:4" x14ac:dyDescent="0.3">
      <c r="A223" s="17" t="s">
        <v>537</v>
      </c>
      <c r="B223" t="s">
        <v>696</v>
      </c>
      <c r="C223" t="s">
        <v>651</v>
      </c>
      <c r="D223" s="21" t="str">
        <f>_xlfn.IFNA(VLOOKUP(A223,'[1]Validacion CPUs'!C:H,6,FALSE),_xlfn.IFNA(VLOOKUP(A223,'[1]Validacion TP'!A:H,8,FALSE),VLOOKUP(A223,'[1]Validacion UPS'!A:H,8,FALSE)))</f>
        <v>COMPUTADORA DE ESCRITORIO</v>
      </c>
    </row>
    <row r="224" spans="1:4" x14ac:dyDescent="0.3">
      <c r="A224" t="s">
        <v>324</v>
      </c>
      <c r="B224" t="s">
        <v>323</v>
      </c>
      <c r="C224" s="14" t="s">
        <v>657</v>
      </c>
      <c r="D224" s="21" t="str">
        <f>_xlfn.IFNA(VLOOKUP(A224,'[1]Validacion CPUs'!C:H,6,FALSE),_xlfn.IFNA(VLOOKUP(A224,'[1]Validacion TP'!A:H,8,FALSE),VLOOKUP(A224,'[1]Validacion UPS'!A:H,8,FALSE)))</f>
        <v>UPS</v>
      </c>
    </row>
    <row r="225" spans="1:4" x14ac:dyDescent="0.3">
      <c r="A225" t="s">
        <v>322</v>
      </c>
      <c r="B225" t="s">
        <v>323</v>
      </c>
      <c r="C225" s="14" t="s">
        <v>657</v>
      </c>
      <c r="D225" s="21" t="str">
        <f>_xlfn.IFNA(VLOOKUP(A225,'[1]Validacion CPUs'!C:H,6,FALSE),_xlfn.IFNA(VLOOKUP(A225,'[1]Validacion TP'!A:H,8,FALSE),VLOOKUP(A225,'[1]Validacion UPS'!A:H,8,FALSE)))</f>
        <v>IMPRESORA TERMICA</v>
      </c>
    </row>
    <row r="226" spans="1:4" x14ac:dyDescent="0.3">
      <c r="A226" t="s">
        <v>321</v>
      </c>
      <c r="B226" t="s">
        <v>323</v>
      </c>
      <c r="C226" s="14" t="s">
        <v>657</v>
      </c>
      <c r="D226" s="21" t="str">
        <f>_xlfn.IFNA(VLOOKUP(A226,'[1]Validacion CPUs'!C:H,6,FALSE),_xlfn.IFNA(VLOOKUP(A226,'[1]Validacion TP'!A:H,8,FALSE),VLOOKUP(A226,'[1]Validacion UPS'!A:H,8,FALSE)))</f>
        <v>COMPUTADORA DE ESCRITORIO</v>
      </c>
    </row>
    <row r="227" spans="1:4" x14ac:dyDescent="0.3">
      <c r="A227" t="s">
        <v>327</v>
      </c>
      <c r="B227" t="s">
        <v>326</v>
      </c>
      <c r="C227" s="14" t="s">
        <v>657</v>
      </c>
      <c r="D227" s="21" t="str">
        <f>_xlfn.IFNA(VLOOKUP(A227,'[1]Validacion CPUs'!C:H,6,FALSE),_xlfn.IFNA(VLOOKUP(A227,'[1]Validacion TP'!A:H,8,FALSE),VLOOKUP(A227,'[1]Validacion UPS'!A:H,8,FALSE)))</f>
        <v>IMPRESORA TERMICA</v>
      </c>
    </row>
    <row r="228" spans="1:4" x14ac:dyDescent="0.3">
      <c r="A228" t="s">
        <v>328</v>
      </c>
      <c r="B228" t="s">
        <v>326</v>
      </c>
      <c r="C228" s="14" t="s">
        <v>657</v>
      </c>
      <c r="D228" s="21" t="str">
        <f>_xlfn.IFNA(VLOOKUP(A228,'[1]Validacion CPUs'!C:H,6,FALSE),_xlfn.IFNA(VLOOKUP(A228,'[1]Validacion TP'!A:H,8,FALSE),VLOOKUP(A228,'[1]Validacion UPS'!A:H,8,FALSE)))</f>
        <v>UPS</v>
      </c>
    </row>
    <row r="229" spans="1:4" x14ac:dyDescent="0.3">
      <c r="A229" t="s">
        <v>325</v>
      </c>
      <c r="B229" t="s">
        <v>326</v>
      </c>
      <c r="C229" s="14" t="s">
        <v>657</v>
      </c>
      <c r="D229" s="21" t="str">
        <f>_xlfn.IFNA(VLOOKUP(A229,'[1]Validacion CPUs'!C:H,6,FALSE),_xlfn.IFNA(VLOOKUP(A229,'[1]Validacion TP'!A:H,8,FALSE),VLOOKUP(A229,'[1]Validacion UPS'!A:H,8,FALSE)))</f>
        <v>COMPUTADORA DE ESCRITORIO</v>
      </c>
    </row>
    <row r="230" spans="1:4" x14ac:dyDescent="0.3">
      <c r="A230" t="s">
        <v>330</v>
      </c>
      <c r="B230" t="s">
        <v>329</v>
      </c>
      <c r="C230" s="14" t="s">
        <v>657</v>
      </c>
      <c r="D230" s="21" t="str">
        <f>_xlfn.IFNA(VLOOKUP(A230,'[1]Validacion CPUs'!C:H,6,FALSE),_xlfn.IFNA(VLOOKUP(A230,'[1]Validacion TP'!A:H,8,FALSE),VLOOKUP(A230,'[1]Validacion UPS'!A:H,8,FALSE)))</f>
        <v>IMPRESORA TERMICA</v>
      </c>
    </row>
    <row r="231" spans="1:4" x14ac:dyDescent="0.3">
      <c r="A231" t="s">
        <v>331</v>
      </c>
      <c r="B231" t="s">
        <v>329</v>
      </c>
      <c r="C231" s="14" t="s">
        <v>657</v>
      </c>
      <c r="D231" s="21" t="str">
        <f>_xlfn.IFNA(VLOOKUP(A231,'[1]Validacion CPUs'!C:H,6,FALSE),_xlfn.IFNA(VLOOKUP(A231,'[1]Validacion TP'!A:H,8,FALSE),VLOOKUP(A231,'[1]Validacion UPS'!A:H,8,FALSE)))</f>
        <v>UPS</v>
      </c>
    </row>
    <row r="232" spans="1:4" x14ac:dyDescent="0.3">
      <c r="A232" t="s">
        <v>623</v>
      </c>
      <c r="B232" t="s">
        <v>329</v>
      </c>
      <c r="C232" s="14" t="s">
        <v>657</v>
      </c>
      <c r="D232" s="21" t="str">
        <f>_xlfn.IFNA(VLOOKUP(A232,'[1]Validacion CPUs'!C:H,6,FALSE),_xlfn.IFNA(VLOOKUP(A232,'[1]Validacion TP'!A:H,8,FALSE),VLOOKUP(A232,'[1]Validacion UPS'!A:H,8,FALSE)))</f>
        <v>COMPUTADORA DE ESCRITORIO</v>
      </c>
    </row>
    <row r="233" spans="1:4" x14ac:dyDescent="0.3">
      <c r="A233" t="s">
        <v>196</v>
      </c>
      <c r="B233" t="s">
        <v>333</v>
      </c>
      <c r="C233" s="14" t="s">
        <v>657</v>
      </c>
      <c r="D233" s="21" t="str">
        <f>_xlfn.IFNA(VLOOKUP(A233,'[1]Validacion CPUs'!C:H,6,FALSE),_xlfn.IFNA(VLOOKUP(A233,'[1]Validacion TP'!A:H,8,FALSE),VLOOKUP(A233,'[1]Validacion UPS'!A:H,8,FALSE)))</f>
        <v>IMPRESORA TERMICA</v>
      </c>
    </row>
    <row r="234" spans="1:4" x14ac:dyDescent="0.3">
      <c r="A234" t="s">
        <v>335</v>
      </c>
      <c r="B234" t="s">
        <v>333</v>
      </c>
      <c r="C234" s="14" t="s">
        <v>657</v>
      </c>
      <c r="D234" s="21" t="str">
        <f>_xlfn.IFNA(VLOOKUP(A234,'[1]Validacion CPUs'!C:H,6,FALSE),_xlfn.IFNA(VLOOKUP(A234,'[1]Validacion TP'!A:H,8,FALSE),VLOOKUP(A234,'[1]Validacion UPS'!A:H,8,FALSE)))</f>
        <v>UPS</v>
      </c>
    </row>
    <row r="235" spans="1:4" x14ac:dyDescent="0.3">
      <c r="A235" t="s">
        <v>332</v>
      </c>
      <c r="B235" t="s">
        <v>333</v>
      </c>
      <c r="C235" s="14" t="s">
        <v>657</v>
      </c>
      <c r="D235" s="21" t="str">
        <f>_xlfn.IFNA(VLOOKUP(A235,'[1]Validacion CPUs'!C:H,6,FALSE),_xlfn.IFNA(VLOOKUP(A235,'[1]Validacion TP'!A:H,8,FALSE),VLOOKUP(A235,'[1]Validacion UPS'!A:H,8,FALSE)))</f>
        <v>COMPUTADORA DE ESCRITORIO</v>
      </c>
    </row>
    <row r="236" spans="1:4" x14ac:dyDescent="0.3">
      <c r="A236" t="s">
        <v>334</v>
      </c>
      <c r="B236" t="s">
        <v>337</v>
      </c>
      <c r="C236" s="14" t="s">
        <v>657</v>
      </c>
      <c r="D236" s="21" t="str">
        <f>_xlfn.IFNA(VLOOKUP(A236,'[1]Validacion CPUs'!C:H,6,FALSE),_xlfn.IFNA(VLOOKUP(A236,'[1]Validacion TP'!A:H,8,FALSE),VLOOKUP(A236,'[1]Validacion UPS'!A:H,8,FALSE)))</f>
        <v>IMPRESORA TERMICA</v>
      </c>
    </row>
    <row r="237" spans="1:4" x14ac:dyDescent="0.3">
      <c r="A237" t="s">
        <v>338</v>
      </c>
      <c r="B237" t="s">
        <v>337</v>
      </c>
      <c r="C237" s="14" t="s">
        <v>657</v>
      </c>
      <c r="D237" s="21" t="str">
        <f>_xlfn.IFNA(VLOOKUP(A237,'[1]Validacion CPUs'!C:H,6,FALSE),_xlfn.IFNA(VLOOKUP(A237,'[1]Validacion TP'!A:H,8,FALSE),VLOOKUP(A237,'[1]Validacion UPS'!A:H,8,FALSE)))</f>
        <v>UPS</v>
      </c>
    </row>
    <row r="238" spans="1:4" x14ac:dyDescent="0.3">
      <c r="A238" t="s">
        <v>336</v>
      </c>
      <c r="B238" t="s">
        <v>337</v>
      </c>
      <c r="C238" s="14" t="s">
        <v>657</v>
      </c>
      <c r="D238" s="21" t="str">
        <f>_xlfn.IFNA(VLOOKUP(A238,'[1]Validacion CPUs'!C:H,6,FALSE),_xlfn.IFNA(VLOOKUP(A238,'[1]Validacion TP'!A:H,8,FALSE),VLOOKUP(A238,'[1]Validacion UPS'!A:H,8,FALSE)))</f>
        <v>COMPUTADORA DE ESCRITORIO</v>
      </c>
    </row>
    <row r="239" spans="1:4" x14ac:dyDescent="0.3">
      <c r="A239" t="s">
        <v>341</v>
      </c>
      <c r="B239" t="s">
        <v>340</v>
      </c>
      <c r="C239" s="14" t="s">
        <v>657</v>
      </c>
      <c r="D239" s="21" t="str">
        <f>_xlfn.IFNA(VLOOKUP(A239,'[1]Validacion CPUs'!C:H,6,FALSE),_xlfn.IFNA(VLOOKUP(A239,'[1]Validacion TP'!A:H,8,FALSE),VLOOKUP(A239,'[1]Validacion UPS'!A:H,8,FALSE)))</f>
        <v>IMPRESORA TERMICA</v>
      </c>
    </row>
    <row r="240" spans="1:4" x14ac:dyDescent="0.3">
      <c r="A240" t="s">
        <v>339</v>
      </c>
      <c r="B240" t="s">
        <v>340</v>
      </c>
      <c r="C240" s="14" t="s">
        <v>657</v>
      </c>
      <c r="D240" s="21" t="str">
        <f>_xlfn.IFNA(VLOOKUP(A240,'[1]Validacion CPUs'!C:H,6,FALSE),_xlfn.IFNA(VLOOKUP(A240,'[1]Validacion TP'!A:H,8,FALSE),VLOOKUP(A240,'[1]Validacion UPS'!A:H,8,FALSE)))</f>
        <v>COMPUTADORA DE ESCRITORIO</v>
      </c>
    </row>
    <row r="241" spans="1:4" x14ac:dyDescent="0.3">
      <c r="A241" t="s">
        <v>342</v>
      </c>
      <c r="B241" t="s">
        <v>340</v>
      </c>
      <c r="C241" s="14" t="s">
        <v>657</v>
      </c>
      <c r="D241" s="21" t="str">
        <f>_xlfn.IFNA(VLOOKUP(A241,'[1]Validacion CPUs'!C:H,6,FALSE),_xlfn.IFNA(VLOOKUP(A241,'[1]Validacion TP'!A:H,8,FALSE),VLOOKUP(A241,'[1]Validacion UPS'!A:H,8,FALSE)))</f>
        <v>UPS</v>
      </c>
    </row>
    <row r="242" spans="1:4" x14ac:dyDescent="0.3">
      <c r="A242" t="s">
        <v>346</v>
      </c>
      <c r="B242" t="s">
        <v>344</v>
      </c>
      <c r="C242" s="14" t="s">
        <v>657</v>
      </c>
      <c r="D242" s="21" t="str">
        <f>_xlfn.IFNA(VLOOKUP(A242,'[1]Validacion CPUs'!C:H,6,FALSE),_xlfn.IFNA(VLOOKUP(A242,'[1]Validacion TP'!A:H,8,FALSE),VLOOKUP(A242,'[1]Validacion UPS'!A:H,8,FALSE)))</f>
        <v>UPS</v>
      </c>
    </row>
    <row r="243" spans="1:4" x14ac:dyDescent="0.3">
      <c r="A243" t="s">
        <v>345</v>
      </c>
      <c r="B243" t="s">
        <v>344</v>
      </c>
      <c r="C243" s="14" t="s">
        <v>657</v>
      </c>
      <c r="D243" s="21" t="str">
        <f>_xlfn.IFNA(VLOOKUP(A243,'[1]Validacion CPUs'!C:H,6,FALSE),_xlfn.IFNA(VLOOKUP(A243,'[1]Validacion TP'!A:H,8,FALSE),VLOOKUP(A243,'[1]Validacion UPS'!A:H,8,FALSE)))</f>
        <v>IMPRESORA TERMICA</v>
      </c>
    </row>
    <row r="244" spans="1:4" x14ac:dyDescent="0.3">
      <c r="A244" t="s">
        <v>343</v>
      </c>
      <c r="B244" t="s">
        <v>344</v>
      </c>
      <c r="C244" s="14" t="s">
        <v>657</v>
      </c>
      <c r="D244" s="21" t="str">
        <f>_xlfn.IFNA(VLOOKUP(A244,'[1]Validacion CPUs'!C:H,6,FALSE),_xlfn.IFNA(VLOOKUP(A244,'[1]Validacion TP'!A:H,8,FALSE),VLOOKUP(A244,'[1]Validacion UPS'!A:H,8,FALSE)))</f>
        <v>COMPUTADORA DE ESCRITORIO</v>
      </c>
    </row>
    <row r="245" spans="1:4" x14ac:dyDescent="0.3">
      <c r="A245" t="s">
        <v>349</v>
      </c>
      <c r="B245" t="s">
        <v>348</v>
      </c>
      <c r="C245" s="14" t="s">
        <v>657</v>
      </c>
      <c r="D245" s="21" t="str">
        <f>_xlfn.IFNA(VLOOKUP(A245,'[1]Validacion CPUs'!C:H,6,FALSE),_xlfn.IFNA(VLOOKUP(A245,'[1]Validacion TP'!A:H,8,FALSE),VLOOKUP(A245,'[1]Validacion UPS'!A:H,8,FALSE)))</f>
        <v>IMPRESORA TERMICA</v>
      </c>
    </row>
    <row r="246" spans="1:4" x14ac:dyDescent="0.3">
      <c r="A246" t="s">
        <v>350</v>
      </c>
      <c r="B246" t="s">
        <v>348</v>
      </c>
      <c r="C246" s="14" t="s">
        <v>657</v>
      </c>
      <c r="D246" s="21" t="str">
        <f>_xlfn.IFNA(VLOOKUP(A246,'[1]Validacion CPUs'!C:H,6,FALSE),_xlfn.IFNA(VLOOKUP(A246,'[1]Validacion TP'!A:H,8,FALSE),VLOOKUP(A246,'[1]Validacion UPS'!A:H,8,FALSE)))</f>
        <v>UPS</v>
      </c>
    </row>
    <row r="247" spans="1:4" x14ac:dyDescent="0.3">
      <c r="A247" t="s">
        <v>347</v>
      </c>
      <c r="B247" t="s">
        <v>348</v>
      </c>
      <c r="C247" s="14" t="s">
        <v>657</v>
      </c>
      <c r="D247" s="21" t="str">
        <f>_xlfn.IFNA(VLOOKUP(A247,'[1]Validacion CPUs'!C:H,6,FALSE),_xlfn.IFNA(VLOOKUP(A247,'[1]Validacion TP'!A:H,8,FALSE),VLOOKUP(A247,'[1]Validacion UPS'!A:H,8,FALSE)))</f>
        <v>COMPUTADORA DE ESCRITORIO</v>
      </c>
    </row>
    <row r="248" spans="1:4" x14ac:dyDescent="0.3">
      <c r="A248" t="s">
        <v>352</v>
      </c>
      <c r="B248" t="s">
        <v>351</v>
      </c>
      <c r="C248" s="14" t="s">
        <v>657</v>
      </c>
      <c r="D248" s="21" t="str">
        <f>_xlfn.IFNA(VLOOKUP(A248,'[1]Validacion CPUs'!C:H,6,FALSE),_xlfn.IFNA(VLOOKUP(A248,'[1]Validacion TP'!A:H,8,FALSE),VLOOKUP(A248,'[1]Validacion UPS'!A:H,8,FALSE)))</f>
        <v>IMPRESORA TERMICA</v>
      </c>
    </row>
    <row r="249" spans="1:4" x14ac:dyDescent="0.3">
      <c r="A249" t="s">
        <v>354</v>
      </c>
      <c r="B249" t="s">
        <v>351</v>
      </c>
      <c r="C249" s="14" t="s">
        <v>657</v>
      </c>
      <c r="D249" s="21" t="str">
        <f>_xlfn.IFNA(VLOOKUP(A249,'[1]Validacion CPUs'!C:H,6,FALSE),_xlfn.IFNA(VLOOKUP(A249,'[1]Validacion TP'!A:H,8,FALSE),VLOOKUP(A249,'[1]Validacion UPS'!A:H,8,FALSE)))</f>
        <v>UPS</v>
      </c>
    </row>
    <row r="250" spans="1:4" x14ac:dyDescent="0.3">
      <c r="A250" t="s">
        <v>299</v>
      </c>
      <c r="B250" t="s">
        <v>351</v>
      </c>
      <c r="C250" s="14" t="s">
        <v>657</v>
      </c>
      <c r="D250" s="21" t="str">
        <f>_xlfn.IFNA(VLOOKUP(A250,'[1]Validacion CPUs'!C:H,6,FALSE),_xlfn.IFNA(VLOOKUP(A250,'[1]Validacion TP'!A:H,8,FALSE),VLOOKUP(A250,'[1]Validacion UPS'!A:H,8,FALSE)))</f>
        <v>COMPUTADORA DE ESCRITORIO</v>
      </c>
    </row>
    <row r="251" spans="1:4" x14ac:dyDescent="0.3">
      <c r="A251" t="s">
        <v>356</v>
      </c>
      <c r="B251" t="s">
        <v>355</v>
      </c>
      <c r="C251" s="14" t="s">
        <v>657</v>
      </c>
      <c r="D251" s="21" t="str">
        <f>_xlfn.IFNA(VLOOKUP(A251,'[1]Validacion CPUs'!C:H,6,FALSE),_xlfn.IFNA(VLOOKUP(A251,'[1]Validacion TP'!A:H,8,FALSE),VLOOKUP(A251,'[1]Validacion UPS'!A:H,8,FALSE)))</f>
        <v>IMPRESORA TERMICA</v>
      </c>
    </row>
    <row r="252" spans="1:4" x14ac:dyDescent="0.3">
      <c r="A252" t="s">
        <v>357</v>
      </c>
      <c r="B252" t="s">
        <v>355</v>
      </c>
      <c r="C252" s="14" t="s">
        <v>657</v>
      </c>
      <c r="D252" s="21" t="str">
        <f>_xlfn.IFNA(VLOOKUP(A252,'[1]Validacion CPUs'!C:H,6,FALSE),_xlfn.IFNA(VLOOKUP(A252,'[1]Validacion TP'!A:H,8,FALSE),VLOOKUP(A252,'[1]Validacion UPS'!A:H,8,FALSE)))</f>
        <v>UPS</v>
      </c>
    </row>
    <row r="253" spans="1:4" x14ac:dyDescent="0.3">
      <c r="A253" t="s">
        <v>622</v>
      </c>
      <c r="B253" t="s">
        <v>355</v>
      </c>
      <c r="C253" s="14" t="s">
        <v>657</v>
      </c>
      <c r="D253" s="21" t="str">
        <f>_xlfn.IFNA(VLOOKUP(A253,'[1]Validacion CPUs'!C:H,6,FALSE),_xlfn.IFNA(VLOOKUP(A253,'[1]Validacion TP'!A:H,8,FALSE),VLOOKUP(A253,'[1]Validacion UPS'!A:H,8,FALSE)))</f>
        <v>COMPUTADORA DE ESCRITORIO</v>
      </c>
    </row>
    <row r="254" spans="1:4" x14ac:dyDescent="0.3">
      <c r="A254" t="s">
        <v>361</v>
      </c>
      <c r="B254" t="s">
        <v>359</v>
      </c>
      <c r="C254" s="14" t="s">
        <v>657</v>
      </c>
      <c r="D254" s="21" t="str">
        <f>_xlfn.IFNA(VLOOKUP(A254,'[1]Validacion CPUs'!C:H,6,FALSE),_xlfn.IFNA(VLOOKUP(A254,'[1]Validacion TP'!A:H,8,FALSE),VLOOKUP(A254,'[1]Validacion UPS'!A:H,8,FALSE)))</f>
        <v>UPS</v>
      </c>
    </row>
    <row r="255" spans="1:4" x14ac:dyDescent="0.3">
      <c r="A255" t="s">
        <v>360</v>
      </c>
      <c r="B255" t="s">
        <v>359</v>
      </c>
      <c r="C255" s="14" t="s">
        <v>657</v>
      </c>
      <c r="D255" s="21" t="str">
        <f>_xlfn.IFNA(VLOOKUP(A255,'[1]Validacion CPUs'!C:H,6,FALSE),_xlfn.IFNA(VLOOKUP(A255,'[1]Validacion TP'!A:H,8,FALSE),VLOOKUP(A255,'[1]Validacion UPS'!A:H,8,FALSE)))</f>
        <v>IMPRESORA TERMICA</v>
      </c>
    </row>
    <row r="256" spans="1:4" x14ac:dyDescent="0.3">
      <c r="A256" t="s">
        <v>358</v>
      </c>
      <c r="B256" t="s">
        <v>359</v>
      </c>
      <c r="C256" s="14" t="s">
        <v>657</v>
      </c>
      <c r="D256" s="21" t="str">
        <f>_xlfn.IFNA(VLOOKUP(A256,'[1]Validacion CPUs'!C:H,6,FALSE),_xlfn.IFNA(VLOOKUP(A256,'[1]Validacion TP'!A:H,8,FALSE),VLOOKUP(A256,'[1]Validacion UPS'!A:H,8,FALSE)))</f>
        <v>COMPUTADORA DE ESCRITORIO</v>
      </c>
    </row>
    <row r="257" spans="1:4" x14ac:dyDescent="0.3">
      <c r="A257" t="s">
        <v>366</v>
      </c>
      <c r="B257" t="s">
        <v>697</v>
      </c>
      <c r="C257" s="14" t="s">
        <v>657</v>
      </c>
      <c r="D257" s="21" t="str">
        <f>_xlfn.IFNA(VLOOKUP(A257,'[1]Validacion CPUs'!C:H,6,FALSE),_xlfn.IFNA(VLOOKUP(A257,'[1]Validacion TP'!A:H,8,FALSE),VLOOKUP(A257,'[1]Validacion UPS'!A:H,8,FALSE)))</f>
        <v>UPS</v>
      </c>
    </row>
    <row r="258" spans="1:4" x14ac:dyDescent="0.3">
      <c r="A258" t="s">
        <v>364</v>
      </c>
      <c r="B258" t="s">
        <v>697</v>
      </c>
      <c r="C258" s="14" t="s">
        <v>657</v>
      </c>
      <c r="D258" s="21" t="str">
        <f>_xlfn.IFNA(VLOOKUP(A258,'[1]Validacion CPUs'!C:H,6,FALSE),_xlfn.IFNA(VLOOKUP(A258,'[1]Validacion TP'!A:H,8,FALSE),VLOOKUP(A258,'[1]Validacion UPS'!A:H,8,FALSE)))</f>
        <v>IMPRESORA TERMICA</v>
      </c>
    </row>
    <row r="259" spans="1:4" x14ac:dyDescent="0.3">
      <c r="A259" t="s">
        <v>362</v>
      </c>
      <c r="B259" t="s">
        <v>697</v>
      </c>
      <c r="C259" s="14" t="s">
        <v>657</v>
      </c>
      <c r="D259" s="21" t="str">
        <f>_xlfn.IFNA(VLOOKUP(A259,'[1]Validacion CPUs'!C:H,6,FALSE),_xlfn.IFNA(VLOOKUP(A259,'[1]Validacion TP'!A:H,8,FALSE),VLOOKUP(A259,'[1]Validacion UPS'!A:H,8,FALSE)))</f>
        <v>COMPUTADORA DE ESCRITORIO</v>
      </c>
    </row>
    <row r="260" spans="1:4" x14ac:dyDescent="0.3">
      <c r="A260" t="s">
        <v>365</v>
      </c>
      <c r="B260" t="s">
        <v>369</v>
      </c>
      <c r="C260" s="14" t="s">
        <v>657</v>
      </c>
      <c r="D260" s="21" t="str">
        <f>_xlfn.IFNA(VLOOKUP(A260,'[1]Validacion CPUs'!C:H,6,FALSE),_xlfn.IFNA(VLOOKUP(A260,'[1]Validacion TP'!A:H,8,FALSE),VLOOKUP(A260,'[1]Validacion UPS'!A:H,8,FALSE)))</f>
        <v>UPS</v>
      </c>
    </row>
    <row r="261" spans="1:4" x14ac:dyDescent="0.3">
      <c r="A261" t="s">
        <v>367</v>
      </c>
      <c r="B261" t="s">
        <v>369</v>
      </c>
      <c r="C261" s="14" t="s">
        <v>657</v>
      </c>
      <c r="D261" s="21" t="str">
        <f>_xlfn.IFNA(VLOOKUP(A261,'[1]Validacion CPUs'!C:H,6,FALSE),_xlfn.IFNA(VLOOKUP(A261,'[1]Validacion TP'!A:H,8,FALSE),VLOOKUP(A261,'[1]Validacion UPS'!A:H,8,FALSE)))</f>
        <v>COMPUTADORA DE ESCRITORIO</v>
      </c>
    </row>
    <row r="262" spans="1:4" x14ac:dyDescent="0.3">
      <c r="A262" t="s">
        <v>368</v>
      </c>
      <c r="B262" t="s">
        <v>369</v>
      </c>
      <c r="C262" s="14" t="s">
        <v>657</v>
      </c>
      <c r="D262" s="21" t="str">
        <f>_xlfn.IFNA(VLOOKUP(A262,'[1]Validacion CPUs'!C:H,6,FALSE),_xlfn.IFNA(VLOOKUP(A262,'[1]Validacion TP'!A:H,8,FALSE),VLOOKUP(A262,'[1]Validacion UPS'!A:H,8,FALSE)))</f>
        <v>IMPRESORA TERMICA</v>
      </c>
    </row>
    <row r="263" spans="1:4" x14ac:dyDescent="0.3">
      <c r="A263" t="s">
        <v>373</v>
      </c>
      <c r="B263" t="s">
        <v>371</v>
      </c>
      <c r="C263" s="14" t="s">
        <v>657</v>
      </c>
      <c r="D263" s="21" t="str">
        <f>_xlfn.IFNA(VLOOKUP(A263,'[1]Validacion CPUs'!C:H,6,FALSE),_xlfn.IFNA(VLOOKUP(A263,'[1]Validacion TP'!A:H,8,FALSE),VLOOKUP(A263,'[1]Validacion UPS'!A:H,8,FALSE)))</f>
        <v>UPS</v>
      </c>
    </row>
    <row r="264" spans="1:4" x14ac:dyDescent="0.3">
      <c r="A264" t="s">
        <v>370</v>
      </c>
      <c r="B264" t="s">
        <v>371</v>
      </c>
      <c r="C264" s="14" t="s">
        <v>657</v>
      </c>
      <c r="D264" s="21" t="str">
        <f>_xlfn.IFNA(VLOOKUP(A264,'[1]Validacion CPUs'!C:H,6,FALSE),_xlfn.IFNA(VLOOKUP(A264,'[1]Validacion TP'!A:H,8,FALSE),VLOOKUP(A264,'[1]Validacion UPS'!A:H,8,FALSE)))</f>
        <v>COMPUTADORA DE ESCRITORIO</v>
      </c>
    </row>
    <row r="265" spans="1:4" x14ac:dyDescent="0.3">
      <c r="A265" t="s">
        <v>372</v>
      </c>
      <c r="B265" t="s">
        <v>371</v>
      </c>
      <c r="C265" s="14" t="s">
        <v>657</v>
      </c>
      <c r="D265" s="21" t="str">
        <f>_xlfn.IFNA(VLOOKUP(A265,'[1]Validacion CPUs'!C:H,6,FALSE),_xlfn.IFNA(VLOOKUP(A265,'[1]Validacion TP'!A:H,8,FALSE),VLOOKUP(A265,'[1]Validacion UPS'!A:H,8,FALSE)))</f>
        <v>IMPRESORA TERMICA</v>
      </c>
    </row>
    <row r="266" spans="1:4" x14ac:dyDescent="0.3">
      <c r="A266" t="s">
        <v>377</v>
      </c>
      <c r="B266" t="s">
        <v>375</v>
      </c>
      <c r="C266" s="14" t="s">
        <v>657</v>
      </c>
      <c r="D266" s="21" t="str">
        <f>_xlfn.IFNA(VLOOKUP(A266,'[1]Validacion CPUs'!C:H,6,FALSE),_xlfn.IFNA(VLOOKUP(A266,'[1]Validacion TP'!A:H,8,FALSE),VLOOKUP(A266,'[1]Validacion UPS'!A:H,8,FALSE)))</f>
        <v>UPS</v>
      </c>
    </row>
    <row r="267" spans="1:4" x14ac:dyDescent="0.3">
      <c r="A267" t="s">
        <v>374</v>
      </c>
      <c r="B267" t="s">
        <v>375</v>
      </c>
      <c r="C267" s="14" t="s">
        <v>657</v>
      </c>
      <c r="D267" s="21" t="str">
        <f>_xlfn.IFNA(VLOOKUP(A267,'[1]Validacion CPUs'!C:H,6,FALSE),_xlfn.IFNA(VLOOKUP(A267,'[1]Validacion TP'!A:H,8,FALSE),VLOOKUP(A267,'[1]Validacion UPS'!A:H,8,FALSE)))</f>
        <v>COMPUTADORA DE ESCRITORIO</v>
      </c>
    </row>
    <row r="268" spans="1:4" x14ac:dyDescent="0.3">
      <c r="A268" t="s">
        <v>376</v>
      </c>
      <c r="B268" t="s">
        <v>375</v>
      </c>
      <c r="C268" s="14" t="s">
        <v>657</v>
      </c>
      <c r="D268" s="21" t="str">
        <f>_xlfn.IFNA(VLOOKUP(A268,'[1]Validacion CPUs'!C:H,6,FALSE),_xlfn.IFNA(VLOOKUP(A268,'[1]Validacion TP'!A:H,8,FALSE),VLOOKUP(A268,'[1]Validacion UPS'!A:H,8,FALSE)))</f>
        <v>IMPRESORA TERMICA</v>
      </c>
    </row>
    <row r="269" spans="1:4" x14ac:dyDescent="0.3">
      <c r="A269" t="s">
        <v>378</v>
      </c>
      <c r="B269" t="s">
        <v>379</v>
      </c>
      <c r="C269" t="s">
        <v>651</v>
      </c>
      <c r="D269" s="21" t="str">
        <f>_xlfn.IFNA(VLOOKUP(A269,'[1]Validacion CPUs'!C:H,6,FALSE),_xlfn.IFNA(VLOOKUP(A269,'[1]Validacion TP'!A:H,8,FALSE),VLOOKUP(A269,'[1]Validacion UPS'!A:H,8,FALSE)))</f>
        <v>UPS</v>
      </c>
    </row>
    <row r="270" spans="1:4" x14ac:dyDescent="0.3">
      <c r="A270" t="s">
        <v>384</v>
      </c>
      <c r="B270" t="s">
        <v>383</v>
      </c>
      <c r="C270" s="14" t="s">
        <v>657</v>
      </c>
      <c r="D270" s="21" t="str">
        <f>_xlfn.IFNA(VLOOKUP(A270,'[1]Validacion CPUs'!C:H,6,FALSE),_xlfn.IFNA(VLOOKUP(A270,'[1]Validacion TP'!A:H,8,FALSE),VLOOKUP(A270,'[1]Validacion UPS'!A:H,8,FALSE)))</f>
        <v>IMPRESORA TERMICA</v>
      </c>
    </row>
    <row r="271" spans="1:4" x14ac:dyDescent="0.3">
      <c r="A271" t="s">
        <v>385</v>
      </c>
      <c r="B271" t="s">
        <v>383</v>
      </c>
      <c r="C271" s="14" t="s">
        <v>657</v>
      </c>
      <c r="D271" s="21" t="str">
        <f>_xlfn.IFNA(VLOOKUP(A271,'[1]Validacion CPUs'!C:H,6,FALSE),_xlfn.IFNA(VLOOKUP(A271,'[1]Validacion TP'!A:H,8,FALSE),VLOOKUP(A271,'[1]Validacion UPS'!A:H,8,FALSE)))</f>
        <v>UPS</v>
      </c>
    </row>
    <row r="272" spans="1:4" x14ac:dyDescent="0.3">
      <c r="A272" t="s">
        <v>382</v>
      </c>
      <c r="B272" t="s">
        <v>383</v>
      </c>
      <c r="C272" s="14" t="s">
        <v>657</v>
      </c>
      <c r="D272" s="21" t="str">
        <f>_xlfn.IFNA(VLOOKUP(A272,'[1]Validacion CPUs'!C:H,6,FALSE),_xlfn.IFNA(VLOOKUP(A272,'[1]Validacion TP'!A:H,8,FALSE),VLOOKUP(A272,'[1]Validacion UPS'!A:H,8,FALSE)))</f>
        <v>COMPUTADORA DE ESCRITORIO</v>
      </c>
    </row>
    <row r="273" spans="1:4" x14ac:dyDescent="0.3">
      <c r="A273" t="s">
        <v>386</v>
      </c>
      <c r="B273" t="s">
        <v>387</v>
      </c>
      <c r="C273" t="s">
        <v>651</v>
      </c>
      <c r="D273" s="21" t="str">
        <f>_xlfn.IFNA(VLOOKUP(A273,'[1]Validacion CPUs'!C:H,6,FALSE),_xlfn.IFNA(VLOOKUP(A273,'[1]Validacion TP'!A:H,8,FALSE),VLOOKUP(A273,'[1]Validacion UPS'!A:H,8,FALSE)))</f>
        <v>COMPUTADORA DE ESCRITORIO</v>
      </c>
    </row>
    <row r="274" spans="1:4" x14ac:dyDescent="0.3">
      <c r="A274" t="s">
        <v>388</v>
      </c>
      <c r="B274" t="s">
        <v>389</v>
      </c>
      <c r="C274" t="s">
        <v>651</v>
      </c>
      <c r="D274" s="21" t="str">
        <f>_xlfn.IFNA(VLOOKUP(A274,'[1]Validacion CPUs'!C:H,6,FALSE),_xlfn.IFNA(VLOOKUP(A274,'[1]Validacion TP'!A:H,8,FALSE),VLOOKUP(A274,'[1]Validacion UPS'!A:H,8,FALSE)))</f>
        <v>UPS</v>
      </c>
    </row>
    <row r="275" spans="1:4" x14ac:dyDescent="0.3">
      <c r="A275" t="s">
        <v>391</v>
      </c>
      <c r="B275" t="s">
        <v>390</v>
      </c>
      <c r="C275" s="14" t="s">
        <v>657</v>
      </c>
      <c r="D275" s="21" t="str">
        <f>_xlfn.IFNA(VLOOKUP(A275,'[1]Validacion CPUs'!C:H,6,FALSE),_xlfn.IFNA(VLOOKUP(A275,'[1]Validacion TP'!A:H,8,FALSE),VLOOKUP(A275,'[1]Validacion UPS'!A:H,8,FALSE)))</f>
        <v>IMPRESORA TERMICA</v>
      </c>
    </row>
    <row r="276" spans="1:4" x14ac:dyDescent="0.3">
      <c r="A276" t="s">
        <v>392</v>
      </c>
      <c r="B276" t="s">
        <v>390</v>
      </c>
      <c r="C276" s="14" t="s">
        <v>657</v>
      </c>
      <c r="D276" s="21" t="str">
        <f>_xlfn.IFNA(VLOOKUP(A276,'[1]Validacion CPUs'!C:H,6,FALSE),_xlfn.IFNA(VLOOKUP(A276,'[1]Validacion TP'!A:H,8,FALSE),VLOOKUP(A276,'[1]Validacion UPS'!A:H,8,FALSE)))</f>
        <v>UPS</v>
      </c>
    </row>
    <row r="277" spans="1:4" x14ac:dyDescent="0.3">
      <c r="A277" t="s">
        <v>632</v>
      </c>
      <c r="B277" t="s">
        <v>390</v>
      </c>
      <c r="C277" s="14" t="s">
        <v>657</v>
      </c>
      <c r="D277" s="21" t="str">
        <f>_xlfn.IFNA(VLOOKUP(A277,'[1]Validacion CPUs'!C:H,6,FALSE),_xlfn.IFNA(VLOOKUP(A277,'[1]Validacion TP'!A:H,8,FALSE),VLOOKUP(A277,'[1]Validacion UPS'!A:H,8,FALSE)))</f>
        <v>COMPUTADORA DE ESCRITORIO</v>
      </c>
    </row>
    <row r="278" spans="1:4" x14ac:dyDescent="0.3">
      <c r="A278" t="s">
        <v>398</v>
      </c>
      <c r="B278" t="s">
        <v>698</v>
      </c>
      <c r="C278" s="14" t="s">
        <v>657</v>
      </c>
      <c r="D278" s="21" t="str">
        <f>_xlfn.IFNA(VLOOKUP(A278,'[1]Validacion CPUs'!C:H,6,FALSE),_xlfn.IFNA(VLOOKUP(A278,'[1]Validacion TP'!A:H,8,FALSE),VLOOKUP(A278,'[1]Validacion UPS'!A:H,8,FALSE)))</f>
        <v>UPS</v>
      </c>
    </row>
    <row r="279" spans="1:4" x14ac:dyDescent="0.3">
      <c r="A279" t="s">
        <v>397</v>
      </c>
      <c r="B279" t="s">
        <v>698</v>
      </c>
      <c r="C279" s="14" t="s">
        <v>657</v>
      </c>
      <c r="D279" s="21" t="str">
        <f>_xlfn.IFNA(VLOOKUP(A279,'[1]Validacion CPUs'!C:H,6,FALSE),_xlfn.IFNA(VLOOKUP(A279,'[1]Validacion TP'!A:H,8,FALSE),VLOOKUP(A279,'[1]Validacion UPS'!A:H,8,FALSE)))</f>
        <v>IMPRESORA TERMICA</v>
      </c>
    </row>
    <row r="280" spans="1:4" x14ac:dyDescent="0.3">
      <c r="A280" t="s">
        <v>395</v>
      </c>
      <c r="B280" t="s">
        <v>698</v>
      </c>
      <c r="C280" s="14" t="s">
        <v>657</v>
      </c>
      <c r="D280" s="21" t="str">
        <f>_xlfn.IFNA(VLOOKUP(A280,'[1]Validacion CPUs'!C:H,6,FALSE),_xlfn.IFNA(VLOOKUP(A280,'[1]Validacion TP'!A:H,8,FALSE),VLOOKUP(A280,'[1]Validacion UPS'!A:H,8,FALSE)))</f>
        <v>COMPUTADORA DE ESCRITORIO</v>
      </c>
    </row>
    <row r="281" spans="1:4" x14ac:dyDescent="0.3">
      <c r="A281" t="s">
        <v>399</v>
      </c>
      <c r="B281" t="s">
        <v>400</v>
      </c>
      <c r="C281" s="19" t="s">
        <v>651</v>
      </c>
      <c r="D281" s="21" t="str">
        <f>_xlfn.IFNA(VLOOKUP(A281,'[1]Validacion CPUs'!C:H,6,FALSE),_xlfn.IFNA(VLOOKUP(A281,'[1]Validacion TP'!A:H,8,FALSE),VLOOKUP(A281,'[1]Validacion UPS'!A:H,8,FALSE)))</f>
        <v>UPS</v>
      </c>
    </row>
    <row r="282" spans="1:4" x14ac:dyDescent="0.3">
      <c r="A282" t="s">
        <v>402</v>
      </c>
      <c r="B282" t="s">
        <v>401</v>
      </c>
      <c r="C282" s="14" t="s">
        <v>657</v>
      </c>
      <c r="D282" s="21" t="str">
        <f>_xlfn.IFNA(VLOOKUP(A282,'[1]Validacion CPUs'!C:H,6,FALSE),_xlfn.IFNA(VLOOKUP(A282,'[1]Validacion TP'!A:H,8,FALSE),VLOOKUP(A282,'[1]Validacion UPS'!A:H,8,FALSE)))</f>
        <v>IMPRESORA TERMICA</v>
      </c>
    </row>
    <row r="283" spans="1:4" x14ac:dyDescent="0.3">
      <c r="A283" t="s">
        <v>699</v>
      </c>
      <c r="B283" t="s">
        <v>401</v>
      </c>
      <c r="C283" s="14" t="s">
        <v>657</v>
      </c>
      <c r="D283" s="21" t="str">
        <f>_xlfn.IFNA(VLOOKUP(A283,'[1]Validacion CPUs'!C:H,6,FALSE),_xlfn.IFNA(VLOOKUP(A283,'[1]Validacion TP'!A:H,8,FALSE),VLOOKUP(A283,'[1]Validacion UPS'!A:H,8,FALSE)))</f>
        <v>COMPUTADORA DE ESCRITORIO</v>
      </c>
    </row>
    <row r="284" spans="1:4" x14ac:dyDescent="0.3">
      <c r="A284" t="s">
        <v>403</v>
      </c>
      <c r="B284" t="s">
        <v>401</v>
      </c>
      <c r="C284" s="14" t="s">
        <v>657</v>
      </c>
      <c r="D284" s="21" t="str">
        <f>_xlfn.IFNA(VLOOKUP(A284,'[1]Validacion CPUs'!C:H,6,FALSE),_xlfn.IFNA(VLOOKUP(A284,'[1]Validacion TP'!A:H,8,FALSE),VLOOKUP(A284,'[1]Validacion UPS'!A:H,8,FALSE)))</f>
        <v>UPS</v>
      </c>
    </row>
    <row r="285" spans="1:4" x14ac:dyDescent="0.3">
      <c r="A285" t="s">
        <v>406</v>
      </c>
      <c r="B285" t="s">
        <v>700</v>
      </c>
      <c r="C285" s="14" t="s">
        <v>657</v>
      </c>
      <c r="D285" s="21" t="str">
        <f>_xlfn.IFNA(VLOOKUP(A285,'[1]Validacion CPUs'!C:H,6,FALSE),_xlfn.IFNA(VLOOKUP(A285,'[1]Validacion TP'!A:H,8,FALSE),VLOOKUP(A285,'[1]Validacion UPS'!A:H,8,FALSE)))</f>
        <v>IMPRESORA TERMICA</v>
      </c>
    </row>
    <row r="286" spans="1:4" x14ac:dyDescent="0.3">
      <c r="A286" t="s">
        <v>407</v>
      </c>
      <c r="B286" t="s">
        <v>405</v>
      </c>
      <c r="C286" s="14" t="s">
        <v>657</v>
      </c>
      <c r="D286" s="21" t="str">
        <f>_xlfn.IFNA(VLOOKUP(A286,'[1]Validacion CPUs'!C:H,6,FALSE),_xlfn.IFNA(VLOOKUP(A286,'[1]Validacion TP'!A:H,8,FALSE),VLOOKUP(A286,'[1]Validacion UPS'!A:H,8,FALSE)))</f>
        <v>UPS</v>
      </c>
    </row>
    <row r="287" spans="1:4" x14ac:dyDescent="0.3">
      <c r="A287" t="s">
        <v>404</v>
      </c>
      <c r="B287" t="s">
        <v>405</v>
      </c>
      <c r="C287" s="14" t="s">
        <v>657</v>
      </c>
      <c r="D287" s="21" t="str">
        <f>_xlfn.IFNA(VLOOKUP(A287,'[1]Validacion CPUs'!C:H,6,FALSE),_xlfn.IFNA(VLOOKUP(A287,'[1]Validacion TP'!A:H,8,FALSE),VLOOKUP(A287,'[1]Validacion UPS'!A:H,8,FALSE)))</f>
        <v>COMPUTADORA DE ESCRITORIO</v>
      </c>
    </row>
    <row r="288" spans="1:4" x14ac:dyDescent="0.3">
      <c r="A288" t="s">
        <v>310</v>
      </c>
      <c r="B288" t="s">
        <v>701</v>
      </c>
      <c r="C288" s="14" t="s">
        <v>657</v>
      </c>
      <c r="D288" s="21" t="str">
        <f>_xlfn.IFNA(VLOOKUP(A288,'[1]Validacion CPUs'!C:H,6,FALSE),_xlfn.IFNA(VLOOKUP(A288,'[1]Validacion TP'!A:H,8,FALSE),VLOOKUP(A288,'[1]Validacion UPS'!A:H,8,FALSE)))</f>
        <v>UPS</v>
      </c>
    </row>
    <row r="289" spans="1:4" x14ac:dyDescent="0.3">
      <c r="A289" t="s">
        <v>414</v>
      </c>
      <c r="B289" t="s">
        <v>702</v>
      </c>
      <c r="C289" t="s">
        <v>651</v>
      </c>
      <c r="D289" s="21" t="str">
        <f>_xlfn.IFNA(VLOOKUP(A289,'[1]Validacion CPUs'!C:H,6,FALSE),_xlfn.IFNA(VLOOKUP(A289,'[1]Validacion TP'!A:H,8,FALSE),VLOOKUP(A289,'[1]Validacion UPS'!A:H,8,FALSE)))</f>
        <v>UPS</v>
      </c>
    </row>
    <row r="290" spans="1:4" x14ac:dyDescent="0.3">
      <c r="A290" t="s">
        <v>520</v>
      </c>
      <c r="B290" t="s">
        <v>702</v>
      </c>
      <c r="C290" t="s">
        <v>651</v>
      </c>
      <c r="D290" s="21" t="str">
        <f>_xlfn.IFNA(VLOOKUP(A290,'[1]Validacion CPUs'!C:H,6,FALSE),_xlfn.IFNA(VLOOKUP(A290,'[1]Validacion TP'!A:H,8,FALSE),VLOOKUP(A290,'[1]Validacion UPS'!A:H,8,FALSE)))</f>
        <v>COMPUTADORA DE ESCRITORIO</v>
      </c>
    </row>
    <row r="291" spans="1:4" x14ac:dyDescent="0.3">
      <c r="A291" t="s">
        <v>415</v>
      </c>
      <c r="B291" t="s">
        <v>703</v>
      </c>
      <c r="C291" t="s">
        <v>652</v>
      </c>
      <c r="D291" s="21" t="str">
        <f>_xlfn.IFNA(VLOOKUP(A291,'[1]Validacion CPUs'!C:H,6,FALSE),_xlfn.IFNA(VLOOKUP(A291,'[1]Validacion TP'!A:H,8,FALSE),VLOOKUP(A291,'[1]Validacion UPS'!A:H,8,FALSE)))</f>
        <v>COMPUTADORA DE ESCRITORIO</v>
      </c>
    </row>
    <row r="292" spans="1:4" x14ac:dyDescent="0.3">
      <c r="A292" t="s">
        <v>416</v>
      </c>
      <c r="B292" t="s">
        <v>703</v>
      </c>
      <c r="C292" t="s">
        <v>652</v>
      </c>
      <c r="D292" s="21" t="str">
        <f>_xlfn.IFNA(VLOOKUP(A292,'[1]Validacion CPUs'!C:H,6,FALSE),_xlfn.IFNA(VLOOKUP(A292,'[1]Validacion TP'!A:H,8,FALSE),VLOOKUP(A292,'[1]Validacion UPS'!A:H,8,FALSE)))</f>
        <v>UPS</v>
      </c>
    </row>
    <row r="293" spans="1:4" x14ac:dyDescent="0.3">
      <c r="A293" t="s">
        <v>419</v>
      </c>
      <c r="B293" t="s">
        <v>418</v>
      </c>
      <c r="C293" t="s">
        <v>652</v>
      </c>
      <c r="D293" s="21" t="str">
        <f>_xlfn.IFNA(VLOOKUP(A293,'[1]Validacion CPUs'!C:H,6,FALSE),_xlfn.IFNA(VLOOKUP(A293,'[1]Validacion TP'!A:H,8,FALSE),VLOOKUP(A293,'[1]Validacion UPS'!A:H,8,FALSE)))</f>
        <v>UPS</v>
      </c>
    </row>
    <row r="294" spans="1:4" x14ac:dyDescent="0.3">
      <c r="A294" t="s">
        <v>417</v>
      </c>
      <c r="B294" t="s">
        <v>418</v>
      </c>
      <c r="C294" t="s">
        <v>652</v>
      </c>
      <c r="D294" s="21" t="str">
        <f>_xlfn.IFNA(VLOOKUP(A294,'[1]Validacion CPUs'!C:H,6,FALSE),_xlfn.IFNA(VLOOKUP(A294,'[1]Validacion TP'!A:H,8,FALSE),VLOOKUP(A294,'[1]Validacion UPS'!A:H,8,FALSE)))</f>
        <v>COMPUTADORA DE ESCRITORIO</v>
      </c>
    </row>
    <row r="295" spans="1:4" x14ac:dyDescent="0.3">
      <c r="A295" t="s">
        <v>421</v>
      </c>
      <c r="B295" t="s">
        <v>423</v>
      </c>
      <c r="C295" t="s">
        <v>652</v>
      </c>
      <c r="D295" s="21" t="str">
        <f>_xlfn.IFNA(VLOOKUP(A295,'[1]Validacion CPUs'!C:H,6,FALSE),_xlfn.IFNA(VLOOKUP(A295,'[1]Validacion TP'!A:H,8,FALSE),VLOOKUP(A295,'[1]Validacion UPS'!A:H,8,FALSE)))</f>
        <v>UPS</v>
      </c>
    </row>
    <row r="296" spans="1:4" x14ac:dyDescent="0.3">
      <c r="A296" t="s">
        <v>420</v>
      </c>
      <c r="B296" t="s">
        <v>423</v>
      </c>
      <c r="C296" t="s">
        <v>652</v>
      </c>
      <c r="D296" s="21" t="str">
        <f>_xlfn.IFNA(VLOOKUP(A296,'[1]Validacion CPUs'!C:H,6,FALSE),_xlfn.IFNA(VLOOKUP(A296,'[1]Validacion TP'!A:H,8,FALSE),VLOOKUP(A296,'[1]Validacion UPS'!A:H,8,FALSE)))</f>
        <v>COMPUTADORA DE ESCRITORIO</v>
      </c>
    </row>
    <row r="297" spans="1:4" x14ac:dyDescent="0.3">
      <c r="A297" t="s">
        <v>422</v>
      </c>
      <c r="B297" t="s">
        <v>424</v>
      </c>
      <c r="C297" t="s">
        <v>652</v>
      </c>
      <c r="D297" s="21" t="str">
        <f>_xlfn.IFNA(VLOOKUP(A297,'[1]Validacion CPUs'!C:H,6,FALSE),_xlfn.IFNA(VLOOKUP(A297,'[1]Validacion TP'!A:H,8,FALSE),VLOOKUP(A297,'[1]Validacion UPS'!A:H,8,FALSE)))</f>
        <v>COMPUTADORA DE ESCRITORIO</v>
      </c>
    </row>
    <row r="298" spans="1:4" x14ac:dyDescent="0.3">
      <c r="A298" t="s">
        <v>425</v>
      </c>
      <c r="B298" t="s">
        <v>424</v>
      </c>
      <c r="C298" t="s">
        <v>652</v>
      </c>
      <c r="D298" s="21" t="str">
        <f>_xlfn.IFNA(VLOOKUP(A298,'[1]Validacion CPUs'!C:H,6,FALSE),_xlfn.IFNA(VLOOKUP(A298,'[1]Validacion TP'!A:H,8,FALSE),VLOOKUP(A298,'[1]Validacion UPS'!A:H,8,FALSE)))</f>
        <v>UPS</v>
      </c>
    </row>
    <row r="299" spans="1:4" x14ac:dyDescent="0.3">
      <c r="A299" t="s">
        <v>426</v>
      </c>
      <c r="B299" t="s">
        <v>704</v>
      </c>
      <c r="C299" t="s">
        <v>652</v>
      </c>
      <c r="D299" s="21" t="str">
        <f>_xlfn.IFNA(VLOOKUP(A299,'[1]Validacion CPUs'!C:H,6,FALSE),_xlfn.IFNA(VLOOKUP(A299,'[1]Validacion TP'!A:H,8,FALSE),VLOOKUP(A299,'[1]Validacion UPS'!A:H,8,FALSE)))</f>
        <v>COMPUTADORA DE ESCRITORIO</v>
      </c>
    </row>
    <row r="300" spans="1:4" x14ac:dyDescent="0.3">
      <c r="A300" t="s">
        <v>428</v>
      </c>
      <c r="B300" t="s">
        <v>704</v>
      </c>
      <c r="C300" t="s">
        <v>652</v>
      </c>
      <c r="D300" s="21" t="str">
        <f>_xlfn.IFNA(VLOOKUP(A300,'[1]Validacion CPUs'!C:H,6,FALSE),_xlfn.IFNA(VLOOKUP(A300,'[1]Validacion TP'!A:H,8,FALSE),VLOOKUP(A300,'[1]Validacion UPS'!A:H,8,FALSE)))</f>
        <v>UPS</v>
      </c>
    </row>
    <row r="301" spans="1:4" x14ac:dyDescent="0.3">
      <c r="A301" t="s">
        <v>429</v>
      </c>
      <c r="B301" t="s">
        <v>430</v>
      </c>
      <c r="C301" t="s">
        <v>652</v>
      </c>
      <c r="D301" s="21" t="str">
        <f>_xlfn.IFNA(VLOOKUP(A301,'[1]Validacion CPUs'!C:H,6,FALSE),_xlfn.IFNA(VLOOKUP(A301,'[1]Validacion TP'!A:H,8,FALSE),VLOOKUP(A301,'[1]Validacion UPS'!A:H,8,FALSE)))</f>
        <v>COMPUTADORA DE ESCRITORIO</v>
      </c>
    </row>
    <row r="302" spans="1:4" x14ac:dyDescent="0.3">
      <c r="A302" t="s">
        <v>435</v>
      </c>
      <c r="B302" t="s">
        <v>430</v>
      </c>
      <c r="C302" t="s">
        <v>652</v>
      </c>
      <c r="D302" s="21" t="str">
        <f>_xlfn.IFNA(VLOOKUP(A302,'[1]Validacion CPUs'!C:H,6,FALSE),_xlfn.IFNA(VLOOKUP(A302,'[1]Validacion TP'!A:H,8,FALSE),VLOOKUP(A302,'[1]Validacion UPS'!A:H,8,FALSE)))</f>
        <v>UPS</v>
      </c>
    </row>
    <row r="303" spans="1:4" x14ac:dyDescent="0.3">
      <c r="A303" t="s">
        <v>434</v>
      </c>
      <c r="B303" t="s">
        <v>433</v>
      </c>
      <c r="C303" s="14" t="s">
        <v>657</v>
      </c>
      <c r="D303" s="21" t="str">
        <f>_xlfn.IFNA(VLOOKUP(A303,'[1]Validacion CPUs'!C:H,6,FALSE),_xlfn.IFNA(VLOOKUP(A303,'[1]Validacion TP'!A:H,8,FALSE),VLOOKUP(A303,'[1]Validacion UPS'!A:H,8,FALSE)))</f>
        <v>IMPRESORA TERMICA</v>
      </c>
    </row>
    <row r="304" spans="1:4" x14ac:dyDescent="0.3">
      <c r="A304" t="s">
        <v>431</v>
      </c>
      <c r="B304" t="s">
        <v>433</v>
      </c>
      <c r="C304" s="14" t="s">
        <v>657</v>
      </c>
      <c r="D304" s="21" t="str">
        <f>_xlfn.IFNA(VLOOKUP(A304,'[1]Validacion CPUs'!C:H,6,FALSE),_xlfn.IFNA(VLOOKUP(A304,'[1]Validacion TP'!A:H,8,FALSE),VLOOKUP(A304,'[1]Validacion UPS'!A:H,8,FALSE)))</f>
        <v>UPS</v>
      </c>
    </row>
    <row r="305" spans="1:4" x14ac:dyDescent="0.3">
      <c r="A305" t="s">
        <v>432</v>
      </c>
      <c r="B305" t="s">
        <v>433</v>
      </c>
      <c r="C305" s="14" t="s">
        <v>657</v>
      </c>
      <c r="D305" s="21" t="str">
        <f>_xlfn.IFNA(VLOOKUP(A305,'[1]Validacion CPUs'!C:H,6,FALSE),_xlfn.IFNA(VLOOKUP(A305,'[1]Validacion TP'!A:H,8,FALSE),VLOOKUP(A305,'[1]Validacion UPS'!A:H,8,FALSE)))</f>
        <v>COMPUTADORA DE ESCRITORIO</v>
      </c>
    </row>
    <row r="306" spans="1:4" x14ac:dyDescent="0.3">
      <c r="A306" t="s">
        <v>436</v>
      </c>
      <c r="B306" t="s">
        <v>437</v>
      </c>
      <c r="C306" s="14" t="s">
        <v>657</v>
      </c>
      <c r="D306" s="21" t="str">
        <f>_xlfn.IFNA(VLOOKUP(A306,'[1]Validacion CPUs'!C:H,6,FALSE),_xlfn.IFNA(VLOOKUP(A306,'[1]Validacion TP'!A:H,8,FALSE),VLOOKUP(A306,'[1]Validacion UPS'!A:H,8,FALSE)))</f>
        <v>COMPUTADORA DE ESCRITORIO</v>
      </c>
    </row>
    <row r="307" spans="1:4" x14ac:dyDescent="0.3">
      <c r="A307" t="s">
        <v>438</v>
      </c>
      <c r="B307" t="s">
        <v>437</v>
      </c>
      <c r="C307" s="14" t="s">
        <v>657</v>
      </c>
      <c r="D307" s="21" t="str">
        <f>_xlfn.IFNA(VLOOKUP(A307,'[1]Validacion CPUs'!C:H,6,FALSE),_xlfn.IFNA(VLOOKUP(A307,'[1]Validacion TP'!A:H,8,FALSE),VLOOKUP(A307,'[1]Validacion UPS'!A:H,8,FALSE)))</f>
        <v>UPS</v>
      </c>
    </row>
    <row r="308" spans="1:4" x14ac:dyDescent="0.3">
      <c r="A308" s="20" t="s">
        <v>705</v>
      </c>
      <c r="B308" t="s">
        <v>439</v>
      </c>
      <c r="C308" t="s">
        <v>652</v>
      </c>
      <c r="D308" s="21" t="str">
        <f>_xlfn.IFNA(VLOOKUP(A308,'[1]Validacion CPUs'!C:H,6,FALSE),_xlfn.IFNA(VLOOKUP(A308,'[1]Validacion TP'!A:H,8,FALSE),VLOOKUP(A308,'[1]Validacion UPS'!A:H,8,FALSE)))</f>
        <v>COMPUTADORA DE ESCRITORIO</v>
      </c>
    </row>
    <row r="309" spans="1:4" x14ac:dyDescent="0.3">
      <c r="A309" t="s">
        <v>442</v>
      </c>
      <c r="B309" t="s">
        <v>441</v>
      </c>
      <c r="C309" t="s">
        <v>652</v>
      </c>
      <c r="D309" s="21" t="str">
        <f>_xlfn.IFNA(VLOOKUP(A309,'[1]Validacion CPUs'!C:H,6,FALSE),_xlfn.IFNA(VLOOKUP(A309,'[1]Validacion TP'!A:H,8,FALSE),VLOOKUP(A309,'[1]Validacion UPS'!A:H,8,FALSE)))</f>
        <v>UPS</v>
      </c>
    </row>
    <row r="310" spans="1:4" x14ac:dyDescent="0.3">
      <c r="A310" t="s">
        <v>440</v>
      </c>
      <c r="B310" t="s">
        <v>441</v>
      </c>
      <c r="C310" t="s">
        <v>652</v>
      </c>
      <c r="D310" s="21" t="str">
        <f>_xlfn.IFNA(VLOOKUP(A310,'[1]Validacion CPUs'!C:H,6,FALSE),_xlfn.IFNA(VLOOKUP(A310,'[1]Validacion TP'!A:H,8,FALSE),VLOOKUP(A310,'[1]Validacion UPS'!A:H,8,FALSE)))</f>
        <v>COMPUTADORA DE ESCRITORIO</v>
      </c>
    </row>
    <row r="311" spans="1:4" x14ac:dyDescent="0.3">
      <c r="A311" t="s">
        <v>445</v>
      </c>
      <c r="B311" t="s">
        <v>446</v>
      </c>
      <c r="C311" t="s">
        <v>652</v>
      </c>
      <c r="D311" s="21" t="str">
        <f>_xlfn.IFNA(VLOOKUP(A311,'[1]Validacion CPUs'!C:H,6,FALSE),_xlfn.IFNA(VLOOKUP(A311,'[1]Validacion TP'!A:H,8,FALSE),VLOOKUP(A311,'[1]Validacion UPS'!A:H,8,FALSE)))</f>
        <v>COMPUTADORA DE ESCRITORIO</v>
      </c>
    </row>
    <row r="312" spans="1:4" x14ac:dyDescent="0.3">
      <c r="A312" t="s">
        <v>706</v>
      </c>
      <c r="B312" t="s">
        <v>707</v>
      </c>
      <c r="C312" t="s">
        <v>652</v>
      </c>
      <c r="D312" s="21" t="str">
        <f>_xlfn.IFNA(VLOOKUP(A312,'[1]Validacion CPUs'!C:H,6,FALSE),_xlfn.IFNA(VLOOKUP(A312,'[1]Validacion TP'!A:H,8,FALSE),VLOOKUP(A312,'[1]Validacion UPS'!A:H,8,FALSE)))</f>
        <v>COMPUTADORA DE ESCRITORIO</v>
      </c>
    </row>
    <row r="313" spans="1:4" x14ac:dyDescent="0.3">
      <c r="A313" t="s">
        <v>447</v>
      </c>
      <c r="B313" t="s">
        <v>708</v>
      </c>
      <c r="C313" t="s">
        <v>652</v>
      </c>
      <c r="D313" s="21" t="str">
        <f>_xlfn.IFNA(VLOOKUP(A313,'[1]Validacion CPUs'!C:H,6,FALSE),_xlfn.IFNA(VLOOKUP(A313,'[1]Validacion TP'!A:H,8,FALSE),VLOOKUP(A313,'[1]Validacion UPS'!A:H,8,FALSE)))</f>
        <v>COMPUTADORA DE ESCRITORIO</v>
      </c>
    </row>
    <row r="314" spans="1:4" x14ac:dyDescent="0.3">
      <c r="A314" t="s">
        <v>449</v>
      </c>
      <c r="B314" t="s">
        <v>708</v>
      </c>
      <c r="C314" t="s">
        <v>652</v>
      </c>
      <c r="D314" s="21" t="str">
        <f>_xlfn.IFNA(VLOOKUP(A314,'[1]Validacion CPUs'!C:H,6,FALSE),_xlfn.IFNA(VLOOKUP(A314,'[1]Validacion TP'!A:H,8,FALSE),VLOOKUP(A314,'[1]Validacion UPS'!A:H,8,FALSE)))</f>
        <v>UPS</v>
      </c>
    </row>
    <row r="315" spans="1:4" x14ac:dyDescent="0.3">
      <c r="A315" t="s">
        <v>455</v>
      </c>
      <c r="B315" t="s">
        <v>709</v>
      </c>
      <c r="C315" t="s">
        <v>652</v>
      </c>
      <c r="D315" s="21" t="str">
        <f>_xlfn.IFNA(VLOOKUP(A315,'[1]Validacion CPUs'!C:H,6,FALSE),_xlfn.IFNA(VLOOKUP(A315,'[1]Validacion TP'!A:H,8,FALSE),VLOOKUP(A315,'[1]Validacion UPS'!A:H,8,FALSE)))</f>
        <v>UPS</v>
      </c>
    </row>
    <row r="316" spans="1:4" x14ac:dyDescent="0.3">
      <c r="A316" t="s">
        <v>450</v>
      </c>
      <c r="B316" t="s">
        <v>709</v>
      </c>
      <c r="C316" t="s">
        <v>652</v>
      </c>
      <c r="D316" s="21" t="str">
        <f>_xlfn.IFNA(VLOOKUP(A316,'[1]Validacion CPUs'!C:H,6,FALSE),_xlfn.IFNA(VLOOKUP(A316,'[1]Validacion TP'!A:H,8,FALSE),VLOOKUP(A316,'[1]Validacion UPS'!A:H,8,FALSE)))</f>
        <v>COMPUTADORA DE ESCRITORIO</v>
      </c>
    </row>
    <row r="317" spans="1:4" x14ac:dyDescent="0.3">
      <c r="A317" t="s">
        <v>452</v>
      </c>
      <c r="B317" t="s">
        <v>709</v>
      </c>
      <c r="C317" t="s">
        <v>652</v>
      </c>
      <c r="D317" s="21" t="str">
        <f>_xlfn.IFNA(VLOOKUP(A317,'[1]Validacion CPUs'!C:H,6,FALSE),_xlfn.IFNA(VLOOKUP(A317,'[1]Validacion TP'!A:H,8,FALSE),VLOOKUP(A317,'[1]Validacion UPS'!A:H,8,FALSE)))</f>
        <v>UPS</v>
      </c>
    </row>
    <row r="318" spans="1:4" x14ac:dyDescent="0.3">
      <c r="A318" t="s">
        <v>453</v>
      </c>
      <c r="B318" t="s">
        <v>710</v>
      </c>
      <c r="C318" t="s">
        <v>652</v>
      </c>
      <c r="D318" s="21" t="str">
        <f>_xlfn.IFNA(VLOOKUP(A318,'[1]Validacion CPUs'!C:H,6,FALSE),_xlfn.IFNA(VLOOKUP(A318,'[1]Validacion TP'!A:H,8,FALSE),VLOOKUP(A318,'[1]Validacion UPS'!A:H,8,FALSE)))</f>
        <v>COMPUTADORA DE ESCRITORIO</v>
      </c>
    </row>
    <row r="319" spans="1:4" x14ac:dyDescent="0.3">
      <c r="A319" t="s">
        <v>711</v>
      </c>
      <c r="B319" t="s">
        <v>712</v>
      </c>
      <c r="C319" t="s">
        <v>652</v>
      </c>
      <c r="D319" s="21" t="str">
        <f>_xlfn.IFNA(VLOOKUP(A319,'[1]Validacion CPUs'!C:H,6,FALSE),_xlfn.IFNA(VLOOKUP(A319,'[1]Validacion TP'!A:H,8,FALSE),VLOOKUP(A319,'[1]Validacion UPS'!A:H,8,FALSE)))</f>
        <v>UPS</v>
      </c>
    </row>
    <row r="320" spans="1:4" x14ac:dyDescent="0.3">
      <c r="A320" t="s">
        <v>459</v>
      </c>
      <c r="B320" t="s">
        <v>713</v>
      </c>
      <c r="C320" t="s">
        <v>652</v>
      </c>
      <c r="D320" s="21" t="str">
        <f>_xlfn.IFNA(VLOOKUP(A320,'[1]Validacion CPUs'!C:H,6,FALSE),_xlfn.IFNA(VLOOKUP(A320,'[1]Validacion TP'!A:H,8,FALSE),VLOOKUP(A320,'[1]Validacion UPS'!A:H,8,FALSE)))</f>
        <v>UPS</v>
      </c>
    </row>
    <row r="321" spans="1:4" x14ac:dyDescent="0.3">
      <c r="A321" t="s">
        <v>457</v>
      </c>
      <c r="B321" t="s">
        <v>713</v>
      </c>
      <c r="C321" t="s">
        <v>652</v>
      </c>
      <c r="D321" s="21" t="str">
        <f>_xlfn.IFNA(VLOOKUP(A321,'[1]Validacion CPUs'!C:H,6,FALSE),_xlfn.IFNA(VLOOKUP(A321,'[1]Validacion TP'!A:H,8,FALSE),VLOOKUP(A321,'[1]Validacion UPS'!A:H,8,FALSE)))</f>
        <v>COMPUTADORA DE ESCRITORIO</v>
      </c>
    </row>
    <row r="322" spans="1:4" x14ac:dyDescent="0.3">
      <c r="A322" t="s">
        <v>714</v>
      </c>
      <c r="B322" t="s">
        <v>715</v>
      </c>
      <c r="C322" t="s">
        <v>652</v>
      </c>
      <c r="D322" s="21" t="str">
        <f>_xlfn.IFNA(VLOOKUP(A322,'[1]Validacion CPUs'!C:H,6,FALSE),_xlfn.IFNA(VLOOKUP(A322,'[1]Validacion TP'!A:H,8,FALSE),VLOOKUP(A322,'[1]Validacion UPS'!A:H,8,FALSE)))</f>
        <v>COMPUTADORA DE ESCRITORIO</v>
      </c>
    </row>
    <row r="323" spans="1:4" x14ac:dyDescent="0.3">
      <c r="A323" t="s">
        <v>540</v>
      </c>
      <c r="B323" t="s">
        <v>716</v>
      </c>
      <c r="C323" t="s">
        <v>652</v>
      </c>
      <c r="D323" s="21" t="str">
        <f>_xlfn.IFNA(VLOOKUP(A323,'[1]Validacion CPUs'!C:H,6,FALSE),_xlfn.IFNA(VLOOKUP(A323,'[1]Validacion TP'!A:H,8,FALSE),VLOOKUP(A323,'[1]Validacion UPS'!A:H,8,FALSE)))</f>
        <v>IMPRESORA TERMICA</v>
      </c>
    </row>
    <row r="324" spans="1:4" x14ac:dyDescent="0.3">
      <c r="A324" t="s">
        <v>469</v>
      </c>
      <c r="B324" t="s">
        <v>716</v>
      </c>
      <c r="C324" t="s">
        <v>652</v>
      </c>
      <c r="D324" s="21" t="str">
        <f>_xlfn.IFNA(VLOOKUP(A324,'[1]Validacion CPUs'!C:H,6,FALSE),_xlfn.IFNA(VLOOKUP(A324,'[1]Validacion TP'!A:H,8,FALSE),VLOOKUP(A324,'[1]Validacion UPS'!A:H,8,FALSE)))</f>
        <v>UPS</v>
      </c>
    </row>
    <row r="325" spans="1:4" x14ac:dyDescent="0.3">
      <c r="A325" t="s">
        <v>466</v>
      </c>
      <c r="B325" t="s">
        <v>716</v>
      </c>
      <c r="C325" t="s">
        <v>652</v>
      </c>
      <c r="D325" s="21" t="str">
        <f>_xlfn.IFNA(VLOOKUP(A325,'[1]Validacion CPUs'!C:H,6,FALSE),_xlfn.IFNA(VLOOKUP(A325,'[1]Validacion TP'!A:H,8,FALSE),VLOOKUP(A325,'[1]Validacion UPS'!A:H,8,FALSE)))</f>
        <v>COMPUTADORA DE ESCRITORIO</v>
      </c>
    </row>
    <row r="326" spans="1:4" x14ac:dyDescent="0.3">
      <c r="A326" t="s">
        <v>472</v>
      </c>
      <c r="B326" t="s">
        <v>717</v>
      </c>
      <c r="C326" t="s">
        <v>652</v>
      </c>
      <c r="D326" s="21" t="str">
        <f>_xlfn.IFNA(VLOOKUP(A326,'[1]Validacion CPUs'!C:H,6,FALSE),_xlfn.IFNA(VLOOKUP(A326,'[1]Validacion TP'!A:H,8,FALSE),VLOOKUP(A326,'[1]Validacion UPS'!A:H,8,FALSE)))</f>
        <v>UPS</v>
      </c>
    </row>
    <row r="327" spans="1:4" x14ac:dyDescent="0.3">
      <c r="A327" t="s">
        <v>470</v>
      </c>
      <c r="B327" t="s">
        <v>717</v>
      </c>
      <c r="C327" t="s">
        <v>652</v>
      </c>
      <c r="D327" s="21" t="str">
        <f>_xlfn.IFNA(VLOOKUP(A327,'[1]Validacion CPUs'!C:H,6,FALSE),_xlfn.IFNA(VLOOKUP(A327,'[1]Validacion TP'!A:H,8,FALSE),VLOOKUP(A327,'[1]Validacion UPS'!A:H,8,FALSE)))</f>
        <v>COMPUTADORA DE ESCRITORIO</v>
      </c>
    </row>
    <row r="328" spans="1:4" x14ac:dyDescent="0.3">
      <c r="A328" t="s">
        <v>474</v>
      </c>
      <c r="B328" t="s">
        <v>718</v>
      </c>
      <c r="C328" t="s">
        <v>652</v>
      </c>
      <c r="D328" s="21" t="str">
        <f>_xlfn.IFNA(VLOOKUP(A328,'[1]Validacion CPUs'!C:H,6,FALSE),_xlfn.IFNA(VLOOKUP(A328,'[1]Validacion TP'!A:H,8,FALSE),VLOOKUP(A328,'[1]Validacion UPS'!A:H,8,FALSE)))</f>
        <v>UPS</v>
      </c>
    </row>
    <row r="329" spans="1:4" x14ac:dyDescent="0.3">
      <c r="A329" t="s">
        <v>719</v>
      </c>
      <c r="B329" t="s">
        <v>718</v>
      </c>
      <c r="C329" t="s">
        <v>652</v>
      </c>
      <c r="D329" s="21" t="str">
        <f>_xlfn.IFNA(VLOOKUP(A329,'[1]Validacion CPUs'!C:H,6,FALSE),_xlfn.IFNA(VLOOKUP(A329,'[1]Validacion TP'!A:H,8,FALSE),VLOOKUP(A329,'[1]Validacion UPS'!A:H,8,FALSE)))</f>
        <v>COMPUTADORA DE ESCRITORIO</v>
      </c>
    </row>
    <row r="330" spans="1:4" x14ac:dyDescent="0.3">
      <c r="A330" t="s">
        <v>479</v>
      </c>
      <c r="B330" t="s">
        <v>720</v>
      </c>
      <c r="C330" t="s">
        <v>652</v>
      </c>
      <c r="D330" s="21" t="str">
        <f>_xlfn.IFNA(VLOOKUP(A330,'[1]Validacion CPUs'!C:H,6,FALSE),_xlfn.IFNA(VLOOKUP(A330,'[1]Validacion TP'!A:H,8,FALSE),VLOOKUP(A330,'[1]Validacion UPS'!A:H,8,FALSE)))</f>
        <v>UPS</v>
      </c>
    </row>
    <row r="331" spans="1:4" x14ac:dyDescent="0.3">
      <c r="A331" t="s">
        <v>478</v>
      </c>
      <c r="B331" t="s">
        <v>720</v>
      </c>
      <c r="C331" t="s">
        <v>652</v>
      </c>
      <c r="D331" s="21" t="str">
        <f>_xlfn.IFNA(VLOOKUP(A331,'[1]Validacion CPUs'!C:H,6,FALSE),_xlfn.IFNA(VLOOKUP(A331,'[1]Validacion TP'!A:H,8,FALSE),VLOOKUP(A331,'[1]Validacion UPS'!A:H,8,FALSE)))</f>
        <v>COMPUTADORA DE ESCRITORIO</v>
      </c>
    </row>
    <row r="332" spans="1:4" x14ac:dyDescent="0.3">
      <c r="A332" t="s">
        <v>477</v>
      </c>
      <c r="B332" t="s">
        <v>721</v>
      </c>
      <c r="C332" t="s">
        <v>652</v>
      </c>
      <c r="D332" s="21" t="str">
        <f>_xlfn.IFNA(VLOOKUP(A332,'[1]Validacion CPUs'!C:H,6,FALSE),_xlfn.IFNA(VLOOKUP(A332,'[1]Validacion TP'!A:H,8,FALSE),VLOOKUP(A332,'[1]Validacion UPS'!A:H,8,FALSE)))</f>
        <v>UPS</v>
      </c>
    </row>
    <row r="333" spans="1:4" x14ac:dyDescent="0.3">
      <c r="A333" t="s">
        <v>595</v>
      </c>
      <c r="B333" t="s">
        <v>721</v>
      </c>
      <c r="C333" t="s">
        <v>652</v>
      </c>
      <c r="D333" s="21" t="str">
        <f>_xlfn.IFNA(VLOOKUP(A333,'[1]Validacion CPUs'!C:H,6,FALSE),_xlfn.IFNA(VLOOKUP(A333,'[1]Validacion TP'!A:H,8,FALSE),VLOOKUP(A333,'[1]Validacion UPS'!A:H,8,FALSE)))</f>
        <v>IMPRESORA TERMICA</v>
      </c>
    </row>
    <row r="334" spans="1:4" x14ac:dyDescent="0.3">
      <c r="A334" t="s">
        <v>475</v>
      </c>
      <c r="B334" t="s">
        <v>721</v>
      </c>
      <c r="C334" t="s">
        <v>652</v>
      </c>
      <c r="D334" s="21" t="str">
        <f>_xlfn.IFNA(VLOOKUP(A334,'[1]Validacion CPUs'!C:H,6,FALSE),_xlfn.IFNA(VLOOKUP(A334,'[1]Validacion TP'!A:H,8,FALSE),VLOOKUP(A334,'[1]Validacion UPS'!A:H,8,FALSE)))</f>
        <v>COMPUTADORA DE ESCRITORIO</v>
      </c>
    </row>
    <row r="335" spans="1:4" x14ac:dyDescent="0.3">
      <c r="A335" t="s">
        <v>483</v>
      </c>
      <c r="B335" t="s">
        <v>722</v>
      </c>
      <c r="C335" t="s">
        <v>652</v>
      </c>
      <c r="D335" s="21" t="str">
        <f>_xlfn.IFNA(VLOOKUP(A335,'[1]Validacion CPUs'!C:H,6,FALSE),_xlfn.IFNA(VLOOKUP(A335,'[1]Validacion TP'!A:H,8,FALSE),VLOOKUP(A335,'[1]Validacion UPS'!A:H,8,FALSE)))</f>
        <v>UPS</v>
      </c>
    </row>
    <row r="336" spans="1:4" x14ac:dyDescent="0.3">
      <c r="A336" t="s">
        <v>481</v>
      </c>
      <c r="B336" t="s">
        <v>722</v>
      </c>
      <c r="C336" t="s">
        <v>652</v>
      </c>
      <c r="D336" s="21" t="str">
        <f>_xlfn.IFNA(VLOOKUP(A336,'[1]Validacion CPUs'!C:H,6,FALSE),_xlfn.IFNA(VLOOKUP(A336,'[1]Validacion TP'!A:H,8,FALSE),VLOOKUP(A336,'[1]Validacion UPS'!A:H,8,FALSE)))</f>
        <v>COMPUTADORA DE ESCRITORIO</v>
      </c>
    </row>
    <row r="337" spans="1:4" x14ac:dyDescent="0.3">
      <c r="A337" t="s">
        <v>485</v>
      </c>
      <c r="B337" t="s">
        <v>723</v>
      </c>
      <c r="C337" t="s">
        <v>652</v>
      </c>
      <c r="D337" s="21" t="str">
        <f>_xlfn.IFNA(VLOOKUP(A337,'[1]Validacion CPUs'!C:H,6,FALSE),_xlfn.IFNA(VLOOKUP(A337,'[1]Validacion TP'!A:H,8,FALSE),VLOOKUP(A337,'[1]Validacion UPS'!A:H,8,FALSE)))</f>
        <v>UPS</v>
      </c>
    </row>
    <row r="338" spans="1:4" x14ac:dyDescent="0.3">
      <c r="A338" t="s">
        <v>484</v>
      </c>
      <c r="B338" t="s">
        <v>723</v>
      </c>
      <c r="C338" t="s">
        <v>652</v>
      </c>
      <c r="D338" s="21" t="str">
        <f>_xlfn.IFNA(VLOOKUP(A338,'[1]Validacion CPUs'!C:H,6,FALSE),_xlfn.IFNA(VLOOKUP(A338,'[1]Validacion TP'!A:H,8,FALSE),VLOOKUP(A338,'[1]Validacion UPS'!A:H,8,FALSE)))</f>
        <v>COMPUTADORA DE ESCRITORIO</v>
      </c>
    </row>
    <row r="339" spans="1:4" x14ac:dyDescent="0.3">
      <c r="A339" t="s">
        <v>486</v>
      </c>
      <c r="B339" t="s">
        <v>724</v>
      </c>
      <c r="C339" t="s">
        <v>652</v>
      </c>
      <c r="D339" s="21" t="str">
        <f>_xlfn.IFNA(VLOOKUP(A339,'[1]Validacion CPUs'!C:H,6,FALSE),_xlfn.IFNA(VLOOKUP(A339,'[1]Validacion TP'!A:H,8,FALSE),VLOOKUP(A339,'[1]Validacion UPS'!A:H,8,FALSE)))</f>
        <v>UPS</v>
      </c>
    </row>
    <row r="340" spans="1:4" x14ac:dyDescent="0.3">
      <c r="A340" t="s">
        <v>413</v>
      </c>
      <c r="B340" t="s">
        <v>725</v>
      </c>
      <c r="C340" t="s">
        <v>652</v>
      </c>
      <c r="D340" s="21" t="str">
        <f>_xlfn.IFNA(VLOOKUP(A340,'[1]Validacion CPUs'!C:H,6,FALSE),_xlfn.IFNA(VLOOKUP(A340,'[1]Validacion TP'!A:H,8,FALSE),VLOOKUP(A340,'[1]Validacion UPS'!A:H,8,FALSE)))</f>
        <v>COMPUTADORA DE ESCRITORIO</v>
      </c>
    </row>
    <row r="341" spans="1:4" x14ac:dyDescent="0.3">
      <c r="A341" t="s">
        <v>487</v>
      </c>
      <c r="B341" t="s">
        <v>725</v>
      </c>
      <c r="C341" t="s">
        <v>652</v>
      </c>
      <c r="D341" s="21" t="str">
        <f>_xlfn.IFNA(VLOOKUP(A341,'[1]Validacion CPUs'!C:H,6,FALSE),_xlfn.IFNA(VLOOKUP(A341,'[1]Validacion TP'!A:H,8,FALSE),VLOOKUP(A341,'[1]Validacion UPS'!A:H,8,FALSE)))</f>
        <v>UPS</v>
      </c>
    </row>
    <row r="342" spans="1:4" x14ac:dyDescent="0.3">
      <c r="A342" t="s">
        <v>726</v>
      </c>
      <c r="B342" t="s">
        <v>727</v>
      </c>
      <c r="C342" t="s">
        <v>652</v>
      </c>
      <c r="D342" s="21" t="str">
        <f>_xlfn.IFNA(VLOOKUP(A342,'[1]Validacion CPUs'!C:H,6,FALSE),_xlfn.IFNA(VLOOKUP(A342,'[1]Validacion TP'!A:H,8,FALSE),VLOOKUP(A342,'[1]Validacion UPS'!A:H,8,FALSE)))</f>
        <v>UPS</v>
      </c>
    </row>
    <row r="343" spans="1:4" x14ac:dyDescent="0.3">
      <c r="A343" t="s">
        <v>728</v>
      </c>
      <c r="B343" t="s">
        <v>727</v>
      </c>
      <c r="C343" t="s">
        <v>652</v>
      </c>
      <c r="D343" s="21" t="str">
        <f>_xlfn.IFNA(VLOOKUP(A343,'[1]Validacion CPUs'!C:H,6,FALSE),_xlfn.IFNA(VLOOKUP(A343,'[1]Validacion TP'!A:H,8,FALSE),VLOOKUP(A343,'[1]Validacion UPS'!A:H,8,FALSE)))</f>
        <v>COMPUTADORA DE ESCRITORIO</v>
      </c>
    </row>
    <row r="344" spans="1:4" x14ac:dyDescent="0.3">
      <c r="A344" t="s">
        <v>493</v>
      </c>
      <c r="B344" t="s">
        <v>491</v>
      </c>
      <c r="C344" s="14" t="s">
        <v>657</v>
      </c>
      <c r="D344" s="21" t="str">
        <f>_xlfn.IFNA(VLOOKUP(A344,'[1]Validacion CPUs'!C:H,6,FALSE),_xlfn.IFNA(VLOOKUP(A344,'[1]Validacion TP'!A:H,8,FALSE),VLOOKUP(A344,'[1]Validacion UPS'!A:H,8,FALSE)))</f>
        <v>UPS</v>
      </c>
    </row>
    <row r="345" spans="1:4" x14ac:dyDescent="0.3">
      <c r="A345" t="s">
        <v>492</v>
      </c>
      <c r="B345" t="s">
        <v>729</v>
      </c>
      <c r="C345" s="14" t="s">
        <v>657</v>
      </c>
      <c r="D345" s="21" t="str">
        <f>_xlfn.IFNA(VLOOKUP(A345,'[1]Validacion CPUs'!C:H,6,FALSE),_xlfn.IFNA(VLOOKUP(A345,'[1]Validacion TP'!A:H,8,FALSE),VLOOKUP(A345,'[1]Validacion UPS'!A:H,8,FALSE)))</f>
        <v>IMPRESORA TERMICA</v>
      </c>
    </row>
    <row r="346" spans="1:4" x14ac:dyDescent="0.3">
      <c r="A346" t="s">
        <v>646</v>
      </c>
      <c r="B346" t="s">
        <v>729</v>
      </c>
      <c r="C346" s="14" t="s">
        <v>657</v>
      </c>
      <c r="D346" s="21" t="str">
        <f>_xlfn.IFNA(VLOOKUP(A346,'[1]Validacion CPUs'!C:H,6,FALSE),_xlfn.IFNA(VLOOKUP(A346,'[1]Validacion TP'!A:H,8,FALSE),VLOOKUP(A346,'[1]Validacion UPS'!A:H,8,FALSE)))</f>
        <v>COMPUTADORA DE ESCRITORIO</v>
      </c>
    </row>
    <row r="347" spans="1:4" x14ac:dyDescent="0.3">
      <c r="A347" t="s">
        <v>494</v>
      </c>
      <c r="B347" t="s">
        <v>495</v>
      </c>
      <c r="C347" t="s">
        <v>652</v>
      </c>
      <c r="D347" s="21" t="str">
        <f>_xlfn.IFNA(VLOOKUP(A347,'[1]Validacion CPUs'!C:H,6,FALSE),_xlfn.IFNA(VLOOKUP(A347,'[1]Validacion TP'!A:H,8,FALSE),VLOOKUP(A347,'[1]Validacion UPS'!A:H,8,FALSE)))</f>
        <v>IMPRESORA TERMICA</v>
      </c>
    </row>
    <row r="348" spans="1:4" x14ac:dyDescent="0.3">
      <c r="A348" t="s">
        <v>730</v>
      </c>
      <c r="B348" t="s">
        <v>496</v>
      </c>
      <c r="C348" t="s">
        <v>652</v>
      </c>
      <c r="D348" s="21" t="str">
        <f>_xlfn.IFNA(VLOOKUP(A348,'[1]Validacion CPUs'!C:H,6,FALSE),_xlfn.IFNA(VLOOKUP(A348,'[1]Validacion TP'!A:H,8,FALSE),VLOOKUP(A348,'[1]Validacion UPS'!A:H,8,FALSE)))</f>
        <v>UPS</v>
      </c>
    </row>
    <row r="349" spans="1:4" x14ac:dyDescent="0.3">
      <c r="A349" t="s">
        <v>497</v>
      </c>
      <c r="B349" t="s">
        <v>498</v>
      </c>
      <c r="C349" t="s">
        <v>652</v>
      </c>
      <c r="D349" s="21" t="str">
        <f>_xlfn.IFNA(VLOOKUP(A349,'[1]Validacion CPUs'!C:H,6,FALSE),_xlfn.IFNA(VLOOKUP(A349,'[1]Validacion TP'!A:H,8,FALSE),VLOOKUP(A349,'[1]Validacion UPS'!A:H,8,FALSE)))</f>
        <v>UPS</v>
      </c>
    </row>
    <row r="350" spans="1:4" x14ac:dyDescent="0.3">
      <c r="A350" t="s">
        <v>731</v>
      </c>
      <c r="B350" t="s">
        <v>498</v>
      </c>
      <c r="C350" t="s">
        <v>652</v>
      </c>
      <c r="D350" s="21" t="str">
        <f>_xlfn.IFNA(VLOOKUP(A350,'[1]Validacion CPUs'!C:H,6,FALSE),_xlfn.IFNA(VLOOKUP(A350,'[1]Validacion TP'!A:H,8,FALSE),VLOOKUP(A350,'[1]Validacion UPS'!A:H,8,FALSE)))</f>
        <v>UPS</v>
      </c>
    </row>
    <row r="351" spans="1:4" x14ac:dyDescent="0.3">
      <c r="A351" t="s">
        <v>509</v>
      </c>
      <c r="B351" t="s">
        <v>510</v>
      </c>
      <c r="C351" t="s">
        <v>652</v>
      </c>
      <c r="D351" s="21" t="str">
        <f>_xlfn.IFNA(VLOOKUP(A351,'[1]Validacion CPUs'!C:H,6,FALSE),_xlfn.IFNA(VLOOKUP(A351,'[1]Validacion TP'!A:H,8,FALSE),VLOOKUP(A351,'[1]Validacion UPS'!A:H,8,FALSE)))</f>
        <v>UPS</v>
      </c>
    </row>
    <row r="352" spans="1:4" x14ac:dyDescent="0.3">
      <c r="A352" t="s">
        <v>511</v>
      </c>
      <c r="B352" t="s">
        <v>512</v>
      </c>
      <c r="C352" t="s">
        <v>652</v>
      </c>
      <c r="D352" s="21" t="str">
        <f>_xlfn.IFNA(VLOOKUP(A352,'[1]Validacion CPUs'!C:H,6,FALSE),_xlfn.IFNA(VLOOKUP(A352,'[1]Validacion TP'!A:H,8,FALSE),VLOOKUP(A352,'[1]Validacion UPS'!A:H,8,FALSE)))</f>
        <v>UPS</v>
      </c>
    </row>
    <row r="353" spans="1:4" x14ac:dyDescent="0.3">
      <c r="A353" t="s">
        <v>514</v>
      </c>
      <c r="B353" t="s">
        <v>515</v>
      </c>
      <c r="C353" s="14" t="s">
        <v>657</v>
      </c>
      <c r="D353" s="21" t="str">
        <f>_xlfn.IFNA(VLOOKUP(A353,'[1]Validacion CPUs'!C:H,6,FALSE),_xlfn.IFNA(VLOOKUP(A353,'[1]Validacion TP'!A:H,8,FALSE),VLOOKUP(A353,'[1]Validacion UPS'!A:H,8,FALSE)))</f>
        <v>UPS</v>
      </c>
    </row>
    <row r="354" spans="1:4" x14ac:dyDescent="0.3">
      <c r="A354" t="s">
        <v>513</v>
      </c>
      <c r="B354" t="s">
        <v>515</v>
      </c>
      <c r="C354" s="14" t="s">
        <v>657</v>
      </c>
      <c r="D354" s="21" t="str">
        <f>_xlfn.IFNA(VLOOKUP(A354,'[1]Validacion CPUs'!C:H,6,FALSE),_xlfn.IFNA(VLOOKUP(A354,'[1]Validacion TP'!A:H,8,FALSE),VLOOKUP(A354,'[1]Validacion UPS'!A:H,8,FALSE)))</f>
        <v>COMPUTADORA DE ESCRITORIO</v>
      </c>
    </row>
    <row r="355" spans="1:4" x14ac:dyDescent="0.3">
      <c r="A355" t="s">
        <v>517</v>
      </c>
      <c r="B355" t="s">
        <v>516</v>
      </c>
      <c r="C355" t="s">
        <v>652</v>
      </c>
      <c r="D355" s="21" t="str">
        <f>_xlfn.IFNA(VLOOKUP(A355,'[1]Validacion CPUs'!C:H,6,FALSE),_xlfn.IFNA(VLOOKUP(A355,'[1]Validacion TP'!A:H,8,FALSE),VLOOKUP(A355,'[1]Validacion UPS'!A:H,8,FALSE)))</f>
        <v>COMPUTADORA DE ESCRITORIO</v>
      </c>
    </row>
    <row r="356" spans="1:4" x14ac:dyDescent="0.3">
      <c r="A356" t="s">
        <v>518</v>
      </c>
      <c r="B356" t="s">
        <v>516</v>
      </c>
      <c r="C356" t="s">
        <v>652</v>
      </c>
      <c r="D356" s="21" t="str">
        <f>_xlfn.IFNA(VLOOKUP(A356,'[1]Validacion CPUs'!C:H,6,FALSE),_xlfn.IFNA(VLOOKUP(A356,'[1]Validacion TP'!A:H,8,FALSE),VLOOKUP(A356,'[1]Validacion UPS'!A:H,8,FALSE)))</f>
        <v>UPS</v>
      </c>
    </row>
    <row r="357" spans="1:4" x14ac:dyDescent="0.3">
      <c r="A357" t="s">
        <v>561</v>
      </c>
      <c r="B357" t="s">
        <v>732</v>
      </c>
      <c r="C357" t="s">
        <v>652</v>
      </c>
      <c r="D357" s="21" t="str">
        <f>_xlfn.IFNA(VLOOKUP(A357,'[1]Validacion CPUs'!C:H,6,FALSE),_xlfn.IFNA(VLOOKUP(A357,'[1]Validacion TP'!A:H,8,FALSE),VLOOKUP(A357,'[1]Validacion UPS'!A:H,8,FALSE)))</f>
        <v>COMPUTADORA DE ESCRITORIO</v>
      </c>
    </row>
    <row r="358" spans="1:4" x14ac:dyDescent="0.3">
      <c r="A358" t="s">
        <v>526</v>
      </c>
      <c r="B358" t="s">
        <v>733</v>
      </c>
      <c r="C358" t="s">
        <v>652</v>
      </c>
      <c r="D358" s="21" t="str">
        <f>_xlfn.IFNA(VLOOKUP(A358,'[1]Validacion CPUs'!C:H,6,FALSE),_xlfn.IFNA(VLOOKUP(A358,'[1]Validacion TP'!A:H,8,FALSE),VLOOKUP(A358,'[1]Validacion UPS'!A:H,8,FALSE)))</f>
        <v>COMPUTADORA DE ESCRITORIO</v>
      </c>
    </row>
    <row r="359" spans="1:4" x14ac:dyDescent="0.3">
      <c r="A359" t="s">
        <v>527</v>
      </c>
      <c r="B359" t="s">
        <v>733</v>
      </c>
      <c r="C359" t="s">
        <v>652</v>
      </c>
      <c r="D359" s="21" t="str">
        <f>_xlfn.IFNA(VLOOKUP(A359,'[1]Validacion CPUs'!C:H,6,FALSE),_xlfn.IFNA(VLOOKUP(A359,'[1]Validacion TP'!A:H,8,FALSE),VLOOKUP(A359,'[1]Validacion UPS'!A:H,8,FALSE)))</f>
        <v>UPS</v>
      </c>
    </row>
    <row r="360" spans="1:4" x14ac:dyDescent="0.3">
      <c r="A360" t="s">
        <v>529</v>
      </c>
      <c r="B360" t="s">
        <v>528</v>
      </c>
      <c r="C360" t="s">
        <v>652</v>
      </c>
      <c r="D360" s="21" t="str">
        <f>_xlfn.IFNA(VLOOKUP(A360,'[1]Validacion CPUs'!C:H,6,FALSE),_xlfn.IFNA(VLOOKUP(A360,'[1]Validacion TP'!A:H,8,FALSE),VLOOKUP(A360,'[1]Validacion UPS'!A:H,8,FALSE)))</f>
        <v>UPS</v>
      </c>
    </row>
    <row r="361" spans="1:4" x14ac:dyDescent="0.3">
      <c r="A361" t="s">
        <v>530</v>
      </c>
      <c r="B361" t="s">
        <v>528</v>
      </c>
      <c r="C361" t="s">
        <v>652</v>
      </c>
      <c r="D361" s="21" t="str">
        <f>_xlfn.IFNA(VLOOKUP(A361,'[1]Validacion CPUs'!C:H,6,FALSE),_xlfn.IFNA(VLOOKUP(A361,'[1]Validacion TP'!A:H,8,FALSE),VLOOKUP(A361,'[1]Validacion UPS'!A:H,8,FALSE)))</f>
        <v>COMPUTADORA DE ESCRITORIO</v>
      </c>
    </row>
    <row r="362" spans="1:4" x14ac:dyDescent="0.3">
      <c r="A362" t="s">
        <v>535</v>
      </c>
      <c r="B362" t="s">
        <v>734</v>
      </c>
      <c r="C362" t="s">
        <v>652</v>
      </c>
      <c r="D362" s="21" t="str">
        <f>_xlfn.IFNA(VLOOKUP(A362,'[1]Validacion CPUs'!C:H,6,FALSE),_xlfn.IFNA(VLOOKUP(A362,'[1]Validacion TP'!A:H,8,FALSE),VLOOKUP(A362,'[1]Validacion UPS'!A:H,8,FALSE)))</f>
        <v>IMPRESORA TERMICA</v>
      </c>
    </row>
    <row r="363" spans="1:4" x14ac:dyDescent="0.3">
      <c r="A363" t="s">
        <v>660</v>
      </c>
      <c r="B363" t="s">
        <v>735</v>
      </c>
      <c r="C363" t="s">
        <v>652</v>
      </c>
      <c r="D363" s="21" t="str">
        <f>_xlfn.IFNA(VLOOKUP(A363,'[1]Validacion CPUs'!C:H,6,FALSE),_xlfn.IFNA(VLOOKUP(A363,'[1]Validacion TP'!A:H,8,FALSE),VLOOKUP(A363,'[1]Validacion UPS'!A:H,8,FALSE)))</f>
        <v>UPS</v>
      </c>
    </row>
    <row r="364" spans="1:4" x14ac:dyDescent="0.3">
      <c r="A364" t="s">
        <v>736</v>
      </c>
      <c r="B364" t="s">
        <v>555</v>
      </c>
      <c r="C364" t="s">
        <v>652</v>
      </c>
      <c r="D364" s="21" t="str">
        <f>_xlfn.IFNA(VLOOKUP(A364,'[1]Validacion CPUs'!C:H,6,FALSE),_xlfn.IFNA(VLOOKUP(A364,'[1]Validacion TP'!A:H,8,FALSE),VLOOKUP(A364,'[1]Validacion UPS'!A:H,8,FALSE)))</f>
        <v>UPS</v>
      </c>
    </row>
    <row r="365" spans="1:4" x14ac:dyDescent="0.3">
      <c r="A365" t="s">
        <v>737</v>
      </c>
      <c r="B365" t="s">
        <v>555</v>
      </c>
      <c r="C365" t="s">
        <v>652</v>
      </c>
      <c r="D365" s="21" t="str">
        <f>_xlfn.IFNA(VLOOKUP(A365,'[1]Validacion CPUs'!C:H,6,FALSE),_xlfn.IFNA(VLOOKUP(A365,'[1]Validacion TP'!A:H,8,FALSE),VLOOKUP(A365,'[1]Validacion UPS'!A:H,8,FALSE)))</f>
        <v>COMPUTADORA DE ESCRITORIO</v>
      </c>
    </row>
    <row r="366" spans="1:4" x14ac:dyDescent="0.3">
      <c r="A366" t="s">
        <v>556</v>
      </c>
      <c r="B366" t="s">
        <v>738</v>
      </c>
      <c r="C366" t="s">
        <v>652</v>
      </c>
      <c r="D366" s="21" t="str">
        <f>_xlfn.IFNA(VLOOKUP(A366,'[1]Validacion CPUs'!C:H,6,FALSE),_xlfn.IFNA(VLOOKUP(A366,'[1]Validacion TP'!A:H,8,FALSE),VLOOKUP(A366,'[1]Validacion UPS'!A:H,8,FALSE)))</f>
        <v>UPS</v>
      </c>
    </row>
    <row r="367" spans="1:4" x14ac:dyDescent="0.3">
      <c r="A367" t="s">
        <v>554</v>
      </c>
      <c r="B367" t="s">
        <v>738</v>
      </c>
      <c r="C367" t="s">
        <v>652</v>
      </c>
      <c r="D367" s="21" t="str">
        <f>_xlfn.IFNA(VLOOKUP(A367,'[1]Validacion CPUs'!C:H,6,FALSE),_xlfn.IFNA(VLOOKUP(A367,'[1]Validacion TP'!A:H,8,FALSE),VLOOKUP(A367,'[1]Validacion UPS'!A:H,8,FALSE)))</f>
        <v>COMPUTADORA DE ESCRITORIO</v>
      </c>
    </row>
    <row r="368" spans="1:4" x14ac:dyDescent="0.3">
      <c r="A368" t="s">
        <v>558</v>
      </c>
      <c r="B368" t="s">
        <v>557</v>
      </c>
      <c r="C368" t="s">
        <v>652</v>
      </c>
      <c r="D368" s="21" t="str">
        <f>_xlfn.IFNA(VLOOKUP(A368,'[1]Validacion CPUs'!C:H,6,FALSE),_xlfn.IFNA(VLOOKUP(A368,'[1]Validacion TP'!A:H,8,FALSE),VLOOKUP(A368,'[1]Validacion UPS'!A:H,8,FALSE)))</f>
        <v>COMPUTADORA DE ESCRITORIO</v>
      </c>
    </row>
    <row r="369" spans="1:4" x14ac:dyDescent="0.3">
      <c r="A369" t="s">
        <v>559</v>
      </c>
      <c r="B369" t="s">
        <v>557</v>
      </c>
      <c r="C369" t="s">
        <v>652</v>
      </c>
      <c r="D369" s="21" t="str">
        <f>_xlfn.IFNA(VLOOKUP(A369,'[1]Validacion CPUs'!C:H,6,FALSE),_xlfn.IFNA(VLOOKUP(A369,'[1]Validacion TP'!A:H,8,FALSE),VLOOKUP(A369,'[1]Validacion UPS'!A:H,8,FALSE)))</f>
        <v>UPS</v>
      </c>
    </row>
    <row r="370" spans="1:4" x14ac:dyDescent="0.3">
      <c r="A370" t="s">
        <v>562</v>
      </c>
      <c r="B370" t="s">
        <v>739</v>
      </c>
      <c r="C370" t="s">
        <v>652</v>
      </c>
      <c r="D370" s="21" t="str">
        <f>_xlfn.IFNA(VLOOKUP(A370,'[1]Validacion CPUs'!C:H,6,FALSE),_xlfn.IFNA(VLOOKUP(A370,'[1]Validacion TP'!A:H,8,FALSE),VLOOKUP(A370,'[1]Validacion UPS'!A:H,8,FALSE)))</f>
        <v>UPS</v>
      </c>
    </row>
    <row r="371" spans="1:4" x14ac:dyDescent="0.3">
      <c r="A371" t="s">
        <v>23</v>
      </c>
      <c r="B371" t="s">
        <v>739</v>
      </c>
      <c r="C371" t="s">
        <v>652</v>
      </c>
      <c r="D371" s="21" t="str">
        <f>_xlfn.IFNA(VLOOKUP(A371,'[1]Validacion CPUs'!C:H,6,FALSE),_xlfn.IFNA(VLOOKUP(A371,'[1]Validacion TP'!A:H,8,FALSE),VLOOKUP(A371,'[1]Validacion UPS'!A:H,8,FALSE)))</f>
        <v>COMPUTADORA DE ESCRITORIO</v>
      </c>
    </row>
    <row r="372" spans="1:4" x14ac:dyDescent="0.3">
      <c r="A372" t="s">
        <v>567</v>
      </c>
      <c r="B372" t="s">
        <v>565</v>
      </c>
      <c r="C372" t="s">
        <v>652</v>
      </c>
      <c r="D372" s="21" t="str">
        <f>_xlfn.IFNA(VLOOKUP(A372,'[1]Validacion CPUs'!C:H,6,FALSE),_xlfn.IFNA(VLOOKUP(A372,'[1]Validacion TP'!A:H,8,FALSE),VLOOKUP(A372,'[1]Validacion UPS'!A:H,8,FALSE)))</f>
        <v>UPS</v>
      </c>
    </row>
    <row r="373" spans="1:4" x14ac:dyDescent="0.3">
      <c r="A373" t="s">
        <v>566</v>
      </c>
      <c r="B373" t="s">
        <v>565</v>
      </c>
      <c r="C373" t="s">
        <v>652</v>
      </c>
      <c r="D373" s="21" t="str">
        <f>_xlfn.IFNA(VLOOKUP(A373,'[1]Validacion CPUs'!C:H,6,FALSE),_xlfn.IFNA(VLOOKUP(A373,'[1]Validacion TP'!A:H,8,FALSE),VLOOKUP(A373,'[1]Validacion UPS'!A:H,8,FALSE)))</f>
        <v>COMPUTADORA DE ESCRITORIO</v>
      </c>
    </row>
    <row r="374" spans="1:4" x14ac:dyDescent="0.3">
      <c r="A374" t="s">
        <v>740</v>
      </c>
      <c r="B374" t="s">
        <v>568</v>
      </c>
      <c r="C374" t="s">
        <v>652</v>
      </c>
      <c r="D374" s="21" t="str">
        <f>_xlfn.IFNA(VLOOKUP(A374,'[1]Validacion CPUs'!C:H,6,FALSE),_xlfn.IFNA(VLOOKUP(A374,'[1]Validacion TP'!A:H,8,FALSE),VLOOKUP(A374,'[1]Validacion UPS'!A:H,8,FALSE)))</f>
        <v>UPS</v>
      </c>
    </row>
    <row r="375" spans="1:4" x14ac:dyDescent="0.3">
      <c r="A375" t="s">
        <v>569</v>
      </c>
      <c r="B375" t="s">
        <v>568</v>
      </c>
      <c r="C375" t="s">
        <v>652</v>
      </c>
      <c r="D375" s="21" t="str">
        <f>_xlfn.IFNA(VLOOKUP(A375,'[1]Validacion CPUs'!C:H,6,FALSE),_xlfn.IFNA(VLOOKUP(A375,'[1]Validacion TP'!A:H,8,FALSE),VLOOKUP(A375,'[1]Validacion UPS'!A:H,8,FALSE)))</f>
        <v>COMPUTADORA DE ESCRITORIO</v>
      </c>
    </row>
    <row r="376" spans="1:4" x14ac:dyDescent="0.3">
      <c r="A376" t="s">
        <v>269</v>
      </c>
      <c r="B376" t="s">
        <v>741</v>
      </c>
      <c r="D376" s="21" t="str">
        <f>_xlfn.IFNA(VLOOKUP(A376,'[1]Validacion CPUs'!C:H,6,FALSE),_xlfn.IFNA(VLOOKUP(A376,'[1]Validacion TP'!A:H,8,FALSE),VLOOKUP(A376,'[1]Validacion UPS'!A:H,8,FALSE)))</f>
        <v>UPS</v>
      </c>
    </row>
    <row r="377" spans="1:4" x14ac:dyDescent="0.3">
      <c r="A377" t="s">
        <v>523</v>
      </c>
      <c r="B377" t="s">
        <v>741</v>
      </c>
      <c r="D377" s="21" t="str">
        <f>_xlfn.IFNA(VLOOKUP(A377,'[1]Validacion CPUs'!C:H,6,FALSE),_xlfn.IFNA(VLOOKUP(A377,'[1]Validacion TP'!A:H,8,FALSE),VLOOKUP(A377,'[1]Validacion UPS'!A:H,8,FALSE)))</f>
        <v>UPS</v>
      </c>
    </row>
    <row r="378" spans="1:4" x14ac:dyDescent="0.3">
      <c r="A378" t="s">
        <v>177</v>
      </c>
      <c r="B378" t="s">
        <v>741</v>
      </c>
      <c r="D378" s="21" t="str">
        <f>_xlfn.IFNA(VLOOKUP(A378,'[1]Validacion CPUs'!C:H,6,FALSE),_xlfn.IFNA(VLOOKUP(A378,'[1]Validacion TP'!A:H,8,FALSE),VLOOKUP(A378,'[1]Validacion UPS'!A:H,8,FALSE)))</f>
        <v>UPS</v>
      </c>
    </row>
    <row r="379" spans="1:4" x14ac:dyDescent="0.3">
      <c r="A379" t="s">
        <v>742</v>
      </c>
      <c r="B379" t="s">
        <v>741</v>
      </c>
      <c r="D379" s="21" t="str">
        <f>_xlfn.IFNA(VLOOKUP(A379,'[1]Validacion CPUs'!C:H,6,FALSE),_xlfn.IFNA(VLOOKUP(A379,'[1]Validacion TP'!A:H,8,FALSE),VLOOKUP(A379,'[1]Validacion UPS'!A:H,8,FALSE)))</f>
        <v>UPS</v>
      </c>
    </row>
    <row r="380" spans="1:4" x14ac:dyDescent="0.3">
      <c r="A380" t="s">
        <v>743</v>
      </c>
      <c r="B380" t="s">
        <v>741</v>
      </c>
      <c r="D380" s="21" t="str">
        <f>_xlfn.IFNA(VLOOKUP(A380,'[1]Validacion CPUs'!C:H,6,FALSE),_xlfn.IFNA(VLOOKUP(A380,'[1]Validacion TP'!A:H,8,FALSE),VLOOKUP(A380,'[1]Validacion UPS'!A:H,8,FALSE)))</f>
        <v>UPS</v>
      </c>
    </row>
    <row r="381" spans="1:4" x14ac:dyDescent="0.3">
      <c r="A381" t="s">
        <v>744</v>
      </c>
      <c r="B381" t="s">
        <v>741</v>
      </c>
      <c r="D381" s="21" t="str">
        <f>_xlfn.IFNA(VLOOKUP(A381,'[1]Validacion CPUs'!C:H,6,FALSE),_xlfn.IFNA(VLOOKUP(A381,'[1]Validacion TP'!A:H,8,FALSE),VLOOKUP(A381,'[1]Validacion UPS'!A:H,8,FALSE)))</f>
        <v>UPS</v>
      </c>
    </row>
    <row r="382" spans="1:4" x14ac:dyDescent="0.3">
      <c r="A382" t="s">
        <v>745</v>
      </c>
      <c r="B382" t="s">
        <v>741</v>
      </c>
      <c r="D382" s="21" t="str">
        <f>_xlfn.IFNA(VLOOKUP(A382,'[1]Validacion CPUs'!C:H,6,FALSE),_xlfn.IFNA(VLOOKUP(A382,'[1]Validacion TP'!A:H,8,FALSE),VLOOKUP(A382,'[1]Validacion UPS'!A:H,8,FALSE)))</f>
        <v>UPS</v>
      </c>
    </row>
    <row r="383" spans="1:4" x14ac:dyDescent="0.3">
      <c r="A383" t="s">
        <v>746</v>
      </c>
      <c r="B383" t="s">
        <v>741</v>
      </c>
      <c r="D383" s="21" t="str">
        <f>_xlfn.IFNA(VLOOKUP(A383,'[1]Validacion CPUs'!C:H,6,FALSE),_xlfn.IFNA(VLOOKUP(A383,'[1]Validacion TP'!A:H,8,FALSE),VLOOKUP(A383,'[1]Validacion UPS'!A:H,8,FALSE)))</f>
        <v>UPS</v>
      </c>
    </row>
    <row r="384" spans="1:4" x14ac:dyDescent="0.3">
      <c r="A384" t="s">
        <v>747</v>
      </c>
      <c r="B384" t="s">
        <v>741</v>
      </c>
      <c r="D384" s="21" t="str">
        <f>_xlfn.IFNA(VLOOKUP(A384,'[1]Validacion CPUs'!C:H,6,FALSE),_xlfn.IFNA(VLOOKUP(A384,'[1]Validacion TP'!A:H,8,FALSE),VLOOKUP(A384,'[1]Validacion UPS'!A:H,8,FALSE)))</f>
        <v>UPS</v>
      </c>
    </row>
    <row r="385" spans="1:4" x14ac:dyDescent="0.3">
      <c r="A385" t="s">
        <v>748</v>
      </c>
      <c r="B385" t="s">
        <v>741</v>
      </c>
      <c r="D385" s="21" t="str">
        <f>_xlfn.IFNA(VLOOKUP(A385,'[1]Validacion CPUs'!C:H,6,FALSE),_xlfn.IFNA(VLOOKUP(A385,'[1]Validacion TP'!A:H,8,FALSE),VLOOKUP(A385,'[1]Validacion UPS'!A:H,8,FALSE)))</f>
        <v>UPS</v>
      </c>
    </row>
    <row r="386" spans="1:4" x14ac:dyDescent="0.3">
      <c r="A386" t="s">
        <v>749</v>
      </c>
      <c r="B386" t="s">
        <v>741</v>
      </c>
      <c r="D386" s="21" t="str">
        <f>_xlfn.IFNA(VLOOKUP(A386,'[1]Validacion CPUs'!C:H,6,FALSE),_xlfn.IFNA(VLOOKUP(A386,'[1]Validacion TP'!A:H,8,FALSE),VLOOKUP(A386,'[1]Validacion UPS'!A:H,8,FALSE)))</f>
        <v>UPS</v>
      </c>
    </row>
    <row r="387" spans="1:4" x14ac:dyDescent="0.3">
      <c r="A387" t="s">
        <v>750</v>
      </c>
      <c r="B387" t="s">
        <v>741</v>
      </c>
      <c r="D387" s="21" t="str">
        <f>_xlfn.IFNA(VLOOKUP(A387,'[1]Validacion CPUs'!C:H,6,FALSE),_xlfn.IFNA(VLOOKUP(A387,'[1]Validacion TP'!A:H,8,FALSE),VLOOKUP(A387,'[1]Validacion UPS'!A:H,8,FALSE)))</f>
        <v>UPS</v>
      </c>
    </row>
    <row r="388" spans="1:4" x14ac:dyDescent="0.3">
      <c r="A388" t="s">
        <v>751</v>
      </c>
      <c r="B388" t="s">
        <v>741</v>
      </c>
      <c r="D388" s="21" t="str">
        <f>_xlfn.IFNA(VLOOKUP(A388,'[1]Validacion CPUs'!C:H,6,FALSE),_xlfn.IFNA(VLOOKUP(A388,'[1]Validacion TP'!A:H,8,FALSE),VLOOKUP(A388,'[1]Validacion UPS'!A:H,8,FALSE)))</f>
        <v>UPS</v>
      </c>
    </row>
    <row r="389" spans="1:4" x14ac:dyDescent="0.3">
      <c r="A389" t="s">
        <v>752</v>
      </c>
      <c r="B389" t="s">
        <v>741</v>
      </c>
      <c r="D389" s="21" t="str">
        <f>_xlfn.IFNA(VLOOKUP(A389,'[1]Validacion CPUs'!C:H,6,FALSE),_xlfn.IFNA(VLOOKUP(A389,'[1]Validacion TP'!A:H,8,FALSE),VLOOKUP(A389,'[1]Validacion UPS'!A:H,8,FALSE)))</f>
        <v>UPS</v>
      </c>
    </row>
    <row r="390" spans="1:4" x14ac:dyDescent="0.3">
      <c r="A390" t="s">
        <v>753</v>
      </c>
      <c r="B390" t="s">
        <v>741</v>
      </c>
      <c r="D390" s="21" t="str">
        <f>_xlfn.IFNA(VLOOKUP(A390,'[1]Validacion CPUs'!C:H,6,FALSE),_xlfn.IFNA(VLOOKUP(A390,'[1]Validacion TP'!A:H,8,FALSE),VLOOKUP(A390,'[1]Validacion UPS'!A:H,8,FALSE)))</f>
        <v>UPS</v>
      </c>
    </row>
    <row r="391" spans="1:4" x14ac:dyDescent="0.3">
      <c r="A391" t="s">
        <v>211</v>
      </c>
      <c r="B391" t="s">
        <v>741</v>
      </c>
      <c r="D391" s="21" t="str">
        <f>_xlfn.IFNA(VLOOKUP(A391,'[1]Validacion CPUs'!C:H,6,FALSE),_xlfn.IFNA(VLOOKUP(A391,'[1]Validacion TP'!A:H,8,FALSE),VLOOKUP(A391,'[1]Validacion UPS'!A:H,8,FALSE)))</f>
        <v>UPS</v>
      </c>
    </row>
    <row r="392" spans="1:4" x14ac:dyDescent="0.3">
      <c r="A392" t="s">
        <v>175</v>
      </c>
      <c r="B392" t="s">
        <v>741</v>
      </c>
      <c r="D392" s="21" t="str">
        <f>_xlfn.IFNA(VLOOKUP(A392,'[1]Validacion CPUs'!C:H,6,FALSE),_xlfn.IFNA(VLOOKUP(A392,'[1]Validacion TP'!A:H,8,FALSE),VLOOKUP(A392,'[1]Validacion UPS'!A:H,8,FALSE)))</f>
        <v>UPS</v>
      </c>
    </row>
    <row r="393" spans="1:4" x14ac:dyDescent="0.3">
      <c r="A393" t="s">
        <v>754</v>
      </c>
      <c r="B393" t="s">
        <v>741</v>
      </c>
      <c r="D393" s="21" t="str">
        <f>_xlfn.IFNA(VLOOKUP(A393,'[1]Validacion CPUs'!C:H,6,FALSE),_xlfn.IFNA(VLOOKUP(A393,'[1]Validacion TP'!A:H,8,FALSE),VLOOKUP(A393,'[1]Validacion UPS'!A:H,8,FALSE)))</f>
        <v>UPS</v>
      </c>
    </row>
    <row r="394" spans="1:4" x14ac:dyDescent="0.3">
      <c r="A394" t="s">
        <v>755</v>
      </c>
      <c r="B394" t="s">
        <v>741</v>
      </c>
      <c r="D394" s="21" t="str">
        <f>_xlfn.IFNA(VLOOKUP(A394,'[1]Validacion CPUs'!C:H,6,FALSE),_xlfn.IFNA(VLOOKUP(A394,'[1]Validacion TP'!A:H,8,FALSE),VLOOKUP(A394,'[1]Validacion UPS'!A:H,8,FALSE)))</f>
        <v>UPS</v>
      </c>
    </row>
    <row r="395" spans="1:4" x14ac:dyDescent="0.3">
      <c r="A395" t="s">
        <v>756</v>
      </c>
      <c r="B395" t="s">
        <v>741</v>
      </c>
      <c r="D395" s="21" t="str">
        <f>_xlfn.IFNA(VLOOKUP(A395,'[1]Validacion CPUs'!C:H,6,FALSE),_xlfn.IFNA(VLOOKUP(A395,'[1]Validacion TP'!A:H,8,FALSE),VLOOKUP(A395,'[1]Validacion UPS'!A:H,8,FALSE)))</f>
        <v>UPS</v>
      </c>
    </row>
    <row r="396" spans="1:4" x14ac:dyDescent="0.3">
      <c r="A396" t="s">
        <v>757</v>
      </c>
      <c r="B396" t="s">
        <v>741</v>
      </c>
      <c r="D396" s="21" t="str">
        <f>_xlfn.IFNA(VLOOKUP(A396,'[1]Validacion CPUs'!C:H,6,FALSE),_xlfn.IFNA(VLOOKUP(A396,'[1]Validacion TP'!A:H,8,FALSE),VLOOKUP(A396,'[1]Validacion UPS'!A:H,8,FALSE)))</f>
        <v>UPS</v>
      </c>
    </row>
    <row r="397" spans="1:4" x14ac:dyDescent="0.3">
      <c r="A397" t="s">
        <v>56</v>
      </c>
      <c r="B397" t="s">
        <v>741</v>
      </c>
      <c r="D397" s="21" t="str">
        <f>_xlfn.IFNA(VLOOKUP(A397,'[1]Validacion CPUs'!C:H,6,FALSE),_xlfn.IFNA(VLOOKUP(A397,'[1]Validacion TP'!A:H,8,FALSE),VLOOKUP(A397,'[1]Validacion UPS'!A:H,8,FALSE)))</f>
        <v>UPS</v>
      </c>
    </row>
    <row r="398" spans="1:4" x14ac:dyDescent="0.3">
      <c r="A398" t="s">
        <v>758</v>
      </c>
      <c r="B398" t="s">
        <v>741</v>
      </c>
      <c r="D398" s="21" t="str">
        <f>_xlfn.IFNA(VLOOKUP(A398,'[1]Validacion CPUs'!C:H,6,FALSE),_xlfn.IFNA(VLOOKUP(A398,'[1]Validacion TP'!A:H,8,FALSE),VLOOKUP(A398,'[1]Validacion UPS'!A:H,8,FALSE)))</f>
        <v>UPS</v>
      </c>
    </row>
    <row r="399" spans="1:4" x14ac:dyDescent="0.3">
      <c r="A399" t="s">
        <v>759</v>
      </c>
      <c r="B399" t="s">
        <v>741</v>
      </c>
      <c r="D399" s="21" t="str">
        <f>_xlfn.IFNA(VLOOKUP(A399,'[1]Validacion CPUs'!C:H,6,FALSE),_xlfn.IFNA(VLOOKUP(A399,'[1]Validacion TP'!A:H,8,FALSE),VLOOKUP(A399,'[1]Validacion UPS'!A:H,8,FALSE)))</f>
        <v>UPS</v>
      </c>
    </row>
    <row r="400" spans="1:4" x14ac:dyDescent="0.3">
      <c r="A400" t="s">
        <v>306</v>
      </c>
      <c r="B400" t="s">
        <v>741</v>
      </c>
      <c r="D400" s="21" t="str">
        <f>_xlfn.IFNA(VLOOKUP(A400,'[1]Validacion CPUs'!C:H,6,FALSE),_xlfn.IFNA(VLOOKUP(A400,'[1]Validacion TP'!A:H,8,FALSE),VLOOKUP(A400,'[1]Validacion UPS'!A:H,8,FALSE)))</f>
        <v>UPS</v>
      </c>
    </row>
    <row r="401" spans="1:4" x14ac:dyDescent="0.3">
      <c r="A401" t="s">
        <v>760</v>
      </c>
      <c r="B401" t="s">
        <v>741</v>
      </c>
      <c r="D401" s="21" t="str">
        <f>_xlfn.IFNA(VLOOKUP(A401,'[1]Validacion CPUs'!C:H,6,FALSE),_xlfn.IFNA(VLOOKUP(A401,'[1]Validacion TP'!A:H,8,FALSE),VLOOKUP(A401,'[1]Validacion UPS'!A:H,8,FALSE)))</f>
        <v>UPS</v>
      </c>
    </row>
    <row r="402" spans="1:4" x14ac:dyDescent="0.3">
      <c r="A402" t="s">
        <v>293</v>
      </c>
      <c r="B402" t="s">
        <v>741</v>
      </c>
      <c r="D402" s="21" t="str">
        <f>_xlfn.IFNA(VLOOKUP(A402,'[1]Validacion CPUs'!C:H,6,FALSE),_xlfn.IFNA(VLOOKUP(A402,'[1]Validacion TP'!A:H,8,FALSE),VLOOKUP(A402,'[1]Validacion UPS'!A:H,8,FALSE)))</f>
        <v>UPS</v>
      </c>
    </row>
    <row r="403" spans="1:4" x14ac:dyDescent="0.3">
      <c r="A403" t="s">
        <v>393</v>
      </c>
      <c r="B403" t="s">
        <v>741</v>
      </c>
      <c r="D403" s="21" t="str">
        <f>_xlfn.IFNA(VLOOKUP(A403,'[1]Validacion CPUs'!C:H,6,FALSE),_xlfn.IFNA(VLOOKUP(A403,'[1]Validacion TP'!A:H,8,FALSE),VLOOKUP(A403,'[1]Validacion UPS'!A:H,8,FALSE)))</f>
        <v>UPS</v>
      </c>
    </row>
    <row r="404" spans="1:4" x14ac:dyDescent="0.3">
      <c r="A404" t="s">
        <v>761</v>
      </c>
      <c r="B404" t="s">
        <v>741</v>
      </c>
      <c r="D404" s="21" t="str">
        <f>_xlfn.IFNA(VLOOKUP(A404,'[1]Validacion CPUs'!C:H,6,FALSE),_xlfn.IFNA(VLOOKUP(A404,'[1]Validacion TP'!A:H,8,FALSE),VLOOKUP(A404,'[1]Validacion UPS'!A:H,8,FALSE)))</f>
        <v>UPS</v>
      </c>
    </row>
    <row r="405" spans="1:4" x14ac:dyDescent="0.3">
      <c r="A405" t="s">
        <v>762</v>
      </c>
      <c r="B405" t="s">
        <v>741</v>
      </c>
      <c r="D405" s="21" t="str">
        <f>_xlfn.IFNA(VLOOKUP(A405,'[1]Validacion CPUs'!C:H,6,FALSE),_xlfn.IFNA(VLOOKUP(A405,'[1]Validacion TP'!A:H,8,FALSE),VLOOKUP(A405,'[1]Validacion UPS'!A:H,8,FALSE)))</f>
        <v>UPS</v>
      </c>
    </row>
    <row r="406" spans="1:4" x14ac:dyDescent="0.3">
      <c r="A406" t="s">
        <v>763</v>
      </c>
      <c r="B406" t="s">
        <v>741</v>
      </c>
      <c r="D406" s="21" t="str">
        <f>_xlfn.IFNA(VLOOKUP(A406,'[1]Validacion CPUs'!C:H,6,FALSE),_xlfn.IFNA(VLOOKUP(A406,'[1]Validacion TP'!A:H,8,FALSE),VLOOKUP(A406,'[1]Validacion UPS'!A:H,8,FALSE)))</f>
        <v>UPS</v>
      </c>
    </row>
    <row r="407" spans="1:4" x14ac:dyDescent="0.3">
      <c r="A407" t="s">
        <v>764</v>
      </c>
      <c r="B407" t="s">
        <v>741</v>
      </c>
      <c r="D407" s="21" t="str">
        <f>_xlfn.IFNA(VLOOKUP(A407,'[1]Validacion CPUs'!C:H,6,FALSE),_xlfn.IFNA(VLOOKUP(A407,'[1]Validacion TP'!A:H,8,FALSE),VLOOKUP(A407,'[1]Validacion UPS'!A:H,8,FALSE)))</f>
        <v>UPS</v>
      </c>
    </row>
    <row r="408" spans="1:4" x14ac:dyDescent="0.3">
      <c r="A408" t="s">
        <v>765</v>
      </c>
      <c r="B408" t="s">
        <v>741</v>
      </c>
      <c r="C408" s="21"/>
      <c r="D408" s="21" t="str">
        <f>_xlfn.IFNA(VLOOKUP(A408,'[1]Validacion CPUs'!C:H,6,FALSE),_xlfn.IFNA(VLOOKUP(A408,'[1]Validacion TP'!A:H,8,FALSE),VLOOKUP(A408,'[1]Validacion UPS'!A:H,8,FALSE)))</f>
        <v>UPS</v>
      </c>
    </row>
    <row r="409" spans="1:4" x14ac:dyDescent="0.3">
      <c r="A409" t="s">
        <v>197</v>
      </c>
      <c r="B409" t="s">
        <v>741</v>
      </c>
      <c r="C409" s="21"/>
      <c r="D409" s="21" t="str">
        <f>_xlfn.IFNA(VLOOKUP(A409,'[1]Validacion CPUs'!C:H,6,FALSE),_xlfn.IFNA(VLOOKUP(A409,'[1]Validacion TP'!A:H,8,FALSE),VLOOKUP(A409,'[1]Validacion UPS'!A:H,8,FALSE)))</f>
        <v>UPS</v>
      </c>
    </row>
    <row r="410" spans="1:4" x14ac:dyDescent="0.3">
      <c r="A410" t="s">
        <v>766</v>
      </c>
      <c r="B410" t="s">
        <v>741</v>
      </c>
      <c r="C410" s="21"/>
      <c r="D410" s="21" t="str">
        <f>_xlfn.IFNA(VLOOKUP(A410,'[1]Validacion CPUs'!C:H,6,FALSE),_xlfn.IFNA(VLOOKUP(A410,'[1]Validacion TP'!A:H,8,FALSE),VLOOKUP(A410,'[1]Validacion UPS'!A:H,8,FALSE)))</f>
        <v>UPS</v>
      </c>
    </row>
    <row r="411" spans="1:4" x14ac:dyDescent="0.3">
      <c r="A411" t="s">
        <v>5</v>
      </c>
      <c r="B411" t="s">
        <v>741</v>
      </c>
      <c r="C411" s="21"/>
      <c r="D411" s="21" t="str">
        <f>_xlfn.IFNA(VLOOKUP(A411,'[1]Validacion CPUs'!C:H,6,FALSE),_xlfn.IFNA(VLOOKUP(A411,'[1]Validacion TP'!A:H,8,FALSE),VLOOKUP(A411,'[1]Validacion UPS'!A:H,8,FALSE)))</f>
        <v>UPS</v>
      </c>
    </row>
    <row r="412" spans="1:4" x14ac:dyDescent="0.3">
      <c r="A412" t="s">
        <v>767</v>
      </c>
      <c r="B412" t="s">
        <v>741</v>
      </c>
      <c r="C412" s="21"/>
      <c r="D412" s="21" t="str">
        <f>_xlfn.IFNA(VLOOKUP(A412,'[1]Validacion CPUs'!C:H,6,FALSE),_xlfn.IFNA(VLOOKUP(A412,'[1]Validacion TP'!A:H,8,FALSE),VLOOKUP(A412,'[1]Validacion UPS'!A:H,8,FALSE)))</f>
        <v>UPS</v>
      </c>
    </row>
    <row r="413" spans="1:4" x14ac:dyDescent="0.3">
      <c r="A413" t="s">
        <v>505</v>
      </c>
      <c r="B413" t="s">
        <v>741</v>
      </c>
      <c r="C413" s="21"/>
      <c r="D413" s="21" t="str">
        <f>_xlfn.IFNA(VLOOKUP(A413,'[1]Validacion CPUs'!C:H,6,FALSE),_xlfn.IFNA(VLOOKUP(A413,'[1]Validacion TP'!A:H,8,FALSE),VLOOKUP(A413,'[1]Validacion UPS'!A:H,8,FALSE)))</f>
        <v>UPS</v>
      </c>
    </row>
  </sheetData>
  <conditionalFormatting sqref="A1:A72">
    <cfRule type="duplicateValues" dxfId="4" priority="1"/>
    <cfRule type="duplicateValues" dxfId="3" priority="2"/>
  </conditionalFormatting>
  <conditionalFormatting sqref="A73:A223">
    <cfRule type="duplicateValues" dxfId="2" priority="3"/>
  </conditionalFormatting>
  <conditionalFormatting sqref="A73:A413">
    <cfRule type="duplicateValues" dxfId="1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313F-EB49-4539-BE23-365476558EC3}">
  <dimension ref="A1:M33"/>
  <sheetViews>
    <sheetView zoomScale="70" zoomScaleNormal="70" workbookViewId="0">
      <selection activeCell="B34" sqref="B34"/>
    </sheetView>
  </sheetViews>
  <sheetFormatPr baseColWidth="10" defaultColWidth="11.5546875" defaultRowHeight="14.4" x14ac:dyDescent="0.3"/>
  <cols>
    <col min="1" max="1" width="3.77734375" bestFit="1" customWidth="1"/>
    <col min="2" max="2" width="13.44140625" bestFit="1" customWidth="1"/>
    <col min="3" max="3" width="28.77734375" bestFit="1" customWidth="1"/>
    <col min="4" max="4" width="7.5546875" bestFit="1" customWidth="1"/>
    <col min="5" max="5" width="16" bestFit="1" customWidth="1"/>
    <col min="6" max="6" width="12.21875" bestFit="1" customWidth="1"/>
    <col min="7" max="7" width="20.44140625" bestFit="1" customWidth="1"/>
    <col min="8" max="8" width="36.77734375" bestFit="1" customWidth="1"/>
    <col min="9" max="9" width="10.77734375" bestFit="1" customWidth="1"/>
    <col min="10" max="10" width="11.21875" bestFit="1" customWidth="1"/>
    <col min="11" max="11" width="77.21875" bestFit="1" customWidth="1"/>
    <col min="12" max="12" width="18.21875" bestFit="1" customWidth="1"/>
    <col min="13" max="13" width="21.77734375" bestFit="1" customWidth="1"/>
  </cols>
  <sheetData>
    <row r="1" spans="1:13" x14ac:dyDescent="0.3">
      <c r="A1" s="38" t="s">
        <v>649</v>
      </c>
      <c r="B1" s="38" t="s">
        <v>650</v>
      </c>
      <c r="C1" s="38" t="s">
        <v>1188</v>
      </c>
      <c r="D1" s="38" t="s">
        <v>1136</v>
      </c>
      <c r="E1" s="38" t="s">
        <v>1137</v>
      </c>
      <c r="F1" s="38" t="s">
        <v>800</v>
      </c>
      <c r="G1" s="38" t="s">
        <v>1138</v>
      </c>
      <c r="H1" s="38" t="s">
        <v>1139</v>
      </c>
      <c r="I1" s="1" t="s">
        <v>1140</v>
      </c>
      <c r="J1" s="1" t="s">
        <v>1199</v>
      </c>
      <c r="K1" s="1" t="s">
        <v>839</v>
      </c>
      <c r="L1" s="1" t="s">
        <v>1141</v>
      </c>
      <c r="M1" s="1" t="s">
        <v>840</v>
      </c>
    </row>
    <row r="2" spans="1:13" x14ac:dyDescent="0.3">
      <c r="A2" s="1">
        <v>1</v>
      </c>
      <c r="B2" s="1" t="s">
        <v>665</v>
      </c>
      <c r="C2" s="1" t="s">
        <v>770</v>
      </c>
      <c r="D2" s="1" t="s">
        <v>1142</v>
      </c>
      <c r="E2" s="1" t="s">
        <v>1143</v>
      </c>
      <c r="F2" s="1" t="s">
        <v>801</v>
      </c>
      <c r="G2" s="1" t="s">
        <v>1144</v>
      </c>
      <c r="H2" s="1" t="s">
        <v>1145</v>
      </c>
      <c r="I2" s="1" t="s">
        <v>1146</v>
      </c>
      <c r="J2" s="81">
        <v>45819</v>
      </c>
      <c r="K2" s="1" t="s">
        <v>1147</v>
      </c>
      <c r="L2" s="1" t="s">
        <v>803</v>
      </c>
      <c r="M2" s="1" t="s">
        <v>649</v>
      </c>
    </row>
    <row r="3" spans="1:13" ht="13.95" customHeight="1" x14ac:dyDescent="0.3">
      <c r="A3" s="1">
        <v>2</v>
      </c>
      <c r="B3" s="47" t="s">
        <v>622</v>
      </c>
      <c r="C3" s="47" t="s">
        <v>770</v>
      </c>
      <c r="D3" s="1" t="s">
        <v>1142</v>
      </c>
      <c r="E3" s="1" t="s">
        <v>1148</v>
      </c>
      <c r="F3" s="1" t="s">
        <v>802</v>
      </c>
      <c r="G3" s="1" t="s">
        <v>1149</v>
      </c>
      <c r="H3" s="1" t="s">
        <v>1150</v>
      </c>
      <c r="I3" s="1" t="s">
        <v>1151</v>
      </c>
      <c r="J3" s="81">
        <v>45996</v>
      </c>
      <c r="K3" s="1" t="s">
        <v>1152</v>
      </c>
      <c r="L3" s="1" t="s">
        <v>803</v>
      </c>
      <c r="M3" s="1" t="s">
        <v>649</v>
      </c>
    </row>
    <row r="4" spans="1:13" x14ac:dyDescent="0.3">
      <c r="A4" s="1">
        <v>3</v>
      </c>
      <c r="B4" s="47" t="s">
        <v>623</v>
      </c>
      <c r="C4" s="47" t="s">
        <v>770</v>
      </c>
      <c r="D4" s="1" t="s">
        <v>1142</v>
      </c>
      <c r="E4" s="1" t="s">
        <v>1148</v>
      </c>
      <c r="F4" s="1" t="s">
        <v>803</v>
      </c>
      <c r="G4" s="1" t="s">
        <v>1149</v>
      </c>
      <c r="H4" s="1" t="s">
        <v>1145</v>
      </c>
      <c r="I4" s="1" t="s">
        <v>1153</v>
      </c>
      <c r="J4" s="81">
        <v>45994</v>
      </c>
      <c r="K4" s="1" t="s">
        <v>1154</v>
      </c>
      <c r="L4" s="1" t="s">
        <v>1204</v>
      </c>
      <c r="M4" s="1" t="s">
        <v>649</v>
      </c>
    </row>
    <row r="5" spans="1:13" x14ac:dyDescent="0.3">
      <c r="A5" s="1">
        <v>4</v>
      </c>
      <c r="B5" s="47" t="s">
        <v>621</v>
      </c>
      <c r="C5" s="47" t="s">
        <v>770</v>
      </c>
      <c r="D5" s="1" t="s">
        <v>1142</v>
      </c>
      <c r="E5" s="1" t="s">
        <v>1148</v>
      </c>
      <c r="F5" s="1" t="s">
        <v>804</v>
      </c>
      <c r="G5" s="1" t="s">
        <v>1149</v>
      </c>
      <c r="H5" s="1" t="s">
        <v>1150</v>
      </c>
      <c r="I5" s="1" t="s">
        <v>1155</v>
      </c>
      <c r="J5" s="81">
        <v>45996</v>
      </c>
      <c r="K5" s="1" t="s">
        <v>1152</v>
      </c>
      <c r="L5" s="1" t="s">
        <v>803</v>
      </c>
      <c r="M5" s="1" t="s">
        <v>649</v>
      </c>
    </row>
    <row r="6" spans="1:13" x14ac:dyDescent="0.3">
      <c r="A6" s="1">
        <v>5</v>
      </c>
      <c r="B6" s="47" t="s">
        <v>624</v>
      </c>
      <c r="C6" s="47" t="s">
        <v>770</v>
      </c>
      <c r="D6" s="1" t="s">
        <v>1142</v>
      </c>
      <c r="E6" s="1" t="s">
        <v>1148</v>
      </c>
      <c r="F6" s="1" t="s">
        <v>805</v>
      </c>
      <c r="G6" s="1" t="s">
        <v>1149</v>
      </c>
      <c r="H6" s="1" t="s">
        <v>1150</v>
      </c>
      <c r="I6" s="1" t="s">
        <v>1156</v>
      </c>
      <c r="J6" s="81">
        <v>45974</v>
      </c>
      <c r="K6" s="1" t="s">
        <v>1152</v>
      </c>
      <c r="L6" s="1" t="s">
        <v>803</v>
      </c>
      <c r="M6" s="1" t="s">
        <v>649</v>
      </c>
    </row>
    <row r="7" spans="1:13" x14ac:dyDescent="0.3">
      <c r="A7" s="1">
        <v>6</v>
      </c>
      <c r="B7" s="47" t="s">
        <v>625</v>
      </c>
      <c r="C7" s="47" t="s">
        <v>770</v>
      </c>
      <c r="D7" s="1" t="s">
        <v>1142</v>
      </c>
      <c r="E7" s="1" t="s">
        <v>1148</v>
      </c>
      <c r="F7" s="1" t="s">
        <v>803</v>
      </c>
      <c r="G7" s="1" t="s">
        <v>1149</v>
      </c>
      <c r="H7" s="1" t="s">
        <v>1150</v>
      </c>
      <c r="I7" s="1" t="s">
        <v>1157</v>
      </c>
      <c r="J7" s="81">
        <v>45974</v>
      </c>
      <c r="K7" s="1" t="s">
        <v>1152</v>
      </c>
      <c r="L7" s="1" t="s">
        <v>803</v>
      </c>
      <c r="M7" s="1" t="s">
        <v>649</v>
      </c>
    </row>
    <row r="8" spans="1:13" x14ac:dyDescent="0.3">
      <c r="A8" s="1">
        <v>7</v>
      </c>
      <c r="B8" s="47" t="s">
        <v>626</v>
      </c>
      <c r="C8" s="47" t="s">
        <v>770</v>
      </c>
      <c r="D8" s="1" t="s">
        <v>1142</v>
      </c>
      <c r="E8" s="1" t="s">
        <v>1148</v>
      </c>
      <c r="F8" s="1" t="s">
        <v>803</v>
      </c>
      <c r="G8" s="1" t="s">
        <v>1149</v>
      </c>
      <c r="H8" s="1" t="s">
        <v>1150</v>
      </c>
      <c r="I8" s="1" t="s">
        <v>1198</v>
      </c>
      <c r="J8" s="81">
        <v>45974</v>
      </c>
      <c r="K8" s="1" t="s">
        <v>1152</v>
      </c>
      <c r="L8" s="1" t="s">
        <v>803</v>
      </c>
      <c r="M8" s="1" t="s">
        <v>649</v>
      </c>
    </row>
    <row r="9" spans="1:13" x14ac:dyDescent="0.3">
      <c r="A9" s="1">
        <v>8</v>
      </c>
      <c r="B9" s="47" t="s">
        <v>627</v>
      </c>
      <c r="C9" s="47" t="s">
        <v>770</v>
      </c>
      <c r="D9" s="1" t="s">
        <v>1142</v>
      </c>
      <c r="E9" s="1" t="s">
        <v>1158</v>
      </c>
      <c r="F9" s="1" t="s">
        <v>803</v>
      </c>
      <c r="G9" s="1" t="s">
        <v>1144</v>
      </c>
      <c r="H9" s="1" t="s">
        <v>1145</v>
      </c>
      <c r="I9" s="1" t="s">
        <v>1159</v>
      </c>
      <c r="J9" s="81">
        <v>45980</v>
      </c>
      <c r="K9" s="1" t="s">
        <v>1147</v>
      </c>
      <c r="L9" s="1" t="s">
        <v>803</v>
      </c>
      <c r="M9" s="1" t="s">
        <v>649</v>
      </c>
    </row>
    <row r="10" spans="1:13" x14ac:dyDescent="0.3">
      <c r="A10" s="1">
        <v>9</v>
      </c>
      <c r="B10" s="47" t="s">
        <v>628</v>
      </c>
      <c r="C10" s="47" t="s">
        <v>770</v>
      </c>
      <c r="D10" s="1" t="s">
        <v>1142</v>
      </c>
      <c r="E10" s="1" t="s">
        <v>1148</v>
      </c>
      <c r="F10" s="1" t="s">
        <v>806</v>
      </c>
      <c r="G10" s="1" t="s">
        <v>1149</v>
      </c>
      <c r="H10" s="1" t="s">
        <v>1150</v>
      </c>
      <c r="I10" s="1" t="s">
        <v>1160</v>
      </c>
      <c r="J10" s="81">
        <v>46051</v>
      </c>
      <c r="K10" s="1" t="s">
        <v>1152</v>
      </c>
      <c r="L10" s="1" t="s">
        <v>803</v>
      </c>
      <c r="M10" s="1" t="s">
        <v>649</v>
      </c>
    </row>
    <row r="11" spans="1:13" x14ac:dyDescent="0.3">
      <c r="A11" s="1">
        <v>10</v>
      </c>
      <c r="B11" s="47" t="s">
        <v>629</v>
      </c>
      <c r="C11" s="47" t="s">
        <v>770</v>
      </c>
      <c r="D11" s="1" t="s">
        <v>1142</v>
      </c>
      <c r="E11" s="1" t="s">
        <v>1148</v>
      </c>
      <c r="F11" s="1" t="s">
        <v>807</v>
      </c>
      <c r="G11" s="1" t="s">
        <v>1149</v>
      </c>
      <c r="H11" s="1" t="s">
        <v>1150</v>
      </c>
      <c r="I11" s="1" t="s">
        <v>1161</v>
      </c>
      <c r="J11" s="81">
        <v>46051</v>
      </c>
      <c r="K11" s="1" t="s">
        <v>1152</v>
      </c>
      <c r="L11" s="1" t="s">
        <v>803</v>
      </c>
      <c r="M11" s="1" t="s">
        <v>649</v>
      </c>
    </row>
    <row r="12" spans="1:13" x14ac:dyDescent="0.3">
      <c r="A12" s="1">
        <v>11</v>
      </c>
      <c r="B12" s="47" t="s">
        <v>630</v>
      </c>
      <c r="C12" s="47" t="s">
        <v>770</v>
      </c>
      <c r="D12" s="1" t="s">
        <v>1142</v>
      </c>
      <c r="E12" s="1" t="s">
        <v>1148</v>
      </c>
      <c r="F12" s="1" t="s">
        <v>803</v>
      </c>
      <c r="G12" s="1" t="s">
        <v>1149</v>
      </c>
      <c r="H12" s="1" t="s">
        <v>1150</v>
      </c>
      <c r="I12" s="1" t="s">
        <v>1162</v>
      </c>
      <c r="J12" s="81">
        <v>46051</v>
      </c>
      <c r="K12" s="1" t="s">
        <v>1152</v>
      </c>
      <c r="L12" s="1" t="s">
        <v>803</v>
      </c>
      <c r="M12" s="1" t="s">
        <v>649</v>
      </c>
    </row>
    <row r="13" spans="1:13" x14ac:dyDescent="0.3">
      <c r="A13" s="1">
        <v>12</v>
      </c>
      <c r="B13" s="47" t="s">
        <v>631</v>
      </c>
      <c r="C13" s="47" t="s">
        <v>770</v>
      </c>
      <c r="D13" s="1" t="s">
        <v>1142</v>
      </c>
      <c r="E13" s="1" t="s">
        <v>1148</v>
      </c>
      <c r="F13" s="1" t="s">
        <v>803</v>
      </c>
      <c r="G13" s="1" t="s">
        <v>1149</v>
      </c>
      <c r="H13" s="1" t="s">
        <v>1150</v>
      </c>
      <c r="I13" s="1" t="s">
        <v>1163</v>
      </c>
      <c r="J13" s="81">
        <v>46051</v>
      </c>
      <c r="K13" s="1" t="s">
        <v>1152</v>
      </c>
      <c r="L13" s="1" t="s">
        <v>803</v>
      </c>
      <c r="M13" s="1" t="s">
        <v>649</v>
      </c>
    </row>
    <row r="14" spans="1:13" x14ac:dyDescent="0.3">
      <c r="A14" s="1">
        <v>13</v>
      </c>
      <c r="B14" s="47" t="s">
        <v>632</v>
      </c>
      <c r="C14" s="47" t="s">
        <v>770</v>
      </c>
      <c r="D14" s="1" t="s">
        <v>1142</v>
      </c>
      <c r="E14" s="1" t="s">
        <v>1148</v>
      </c>
      <c r="F14" s="1" t="s">
        <v>808</v>
      </c>
      <c r="G14" s="1" t="s">
        <v>1149</v>
      </c>
      <c r="H14" s="1" t="s">
        <v>1150</v>
      </c>
      <c r="I14" s="1" t="s">
        <v>1164</v>
      </c>
      <c r="J14" s="81">
        <v>46051</v>
      </c>
      <c r="K14" s="1" t="s">
        <v>1152</v>
      </c>
      <c r="L14" s="1" t="s">
        <v>803</v>
      </c>
      <c r="M14" s="1" t="s">
        <v>649</v>
      </c>
    </row>
    <row r="15" spans="1:13" x14ac:dyDescent="0.3">
      <c r="A15" s="1">
        <v>14</v>
      </c>
      <c r="B15" s="47" t="s">
        <v>633</v>
      </c>
      <c r="C15" s="47" t="s">
        <v>770</v>
      </c>
      <c r="D15" s="1" t="s">
        <v>1142</v>
      </c>
      <c r="E15" s="1" t="s">
        <v>1148</v>
      </c>
      <c r="F15" s="1" t="s">
        <v>803</v>
      </c>
      <c r="G15" s="1" t="s">
        <v>1149</v>
      </c>
      <c r="H15" s="1" t="s">
        <v>1150</v>
      </c>
      <c r="I15" s="1" t="s">
        <v>1165</v>
      </c>
      <c r="J15" s="81">
        <v>46051</v>
      </c>
      <c r="K15" s="1" t="s">
        <v>1152</v>
      </c>
      <c r="L15" s="1" t="s">
        <v>803</v>
      </c>
      <c r="M15" s="1" t="s">
        <v>649</v>
      </c>
    </row>
    <row r="16" spans="1:13" x14ac:dyDescent="0.3">
      <c r="A16" s="1">
        <v>15</v>
      </c>
      <c r="B16" s="47" t="s">
        <v>634</v>
      </c>
      <c r="C16" s="47" t="s">
        <v>770</v>
      </c>
      <c r="D16" s="1" t="s">
        <v>1142</v>
      </c>
      <c r="E16" s="1" t="s">
        <v>1148</v>
      </c>
      <c r="F16" s="1" t="s">
        <v>809</v>
      </c>
      <c r="G16" s="1" t="s">
        <v>1149</v>
      </c>
      <c r="H16" s="1" t="s">
        <v>1150</v>
      </c>
      <c r="I16" s="1" t="s">
        <v>1166</v>
      </c>
      <c r="J16" s="81">
        <v>46051</v>
      </c>
      <c r="K16" s="1" t="s">
        <v>1152</v>
      </c>
      <c r="L16" s="1" t="s">
        <v>803</v>
      </c>
      <c r="M16" s="1" t="s">
        <v>649</v>
      </c>
    </row>
    <row r="17" spans="1:13" x14ac:dyDescent="0.3">
      <c r="A17" s="1">
        <v>16</v>
      </c>
      <c r="B17" s="47" t="s">
        <v>635</v>
      </c>
      <c r="C17" s="47" t="s">
        <v>770</v>
      </c>
      <c r="D17" s="1" t="s">
        <v>1142</v>
      </c>
      <c r="E17" s="1" t="s">
        <v>1148</v>
      </c>
      <c r="F17" s="1" t="s">
        <v>803</v>
      </c>
      <c r="G17" s="1" t="s">
        <v>1149</v>
      </c>
      <c r="H17" s="1" t="s">
        <v>1145</v>
      </c>
      <c r="I17" s="1" t="s">
        <v>1167</v>
      </c>
      <c r="J17" s="81">
        <v>46051</v>
      </c>
      <c r="K17" s="1" t="s">
        <v>1168</v>
      </c>
      <c r="L17" s="1" t="s">
        <v>803</v>
      </c>
      <c r="M17" s="1" t="s">
        <v>649</v>
      </c>
    </row>
    <row r="18" spans="1:13" x14ac:dyDescent="0.3">
      <c r="A18" s="1">
        <v>17</v>
      </c>
      <c r="B18" s="47" t="s">
        <v>636</v>
      </c>
      <c r="C18" s="47" t="s">
        <v>770</v>
      </c>
      <c r="D18" s="1" t="s">
        <v>1142</v>
      </c>
      <c r="E18" s="1" t="s">
        <v>1148</v>
      </c>
      <c r="F18" s="1" t="s">
        <v>803</v>
      </c>
      <c r="G18" s="1" t="s">
        <v>1149</v>
      </c>
      <c r="H18" s="1" t="s">
        <v>1145</v>
      </c>
      <c r="I18" s="1" t="s">
        <v>1169</v>
      </c>
      <c r="J18" s="81">
        <v>46051</v>
      </c>
      <c r="K18" s="1" t="s">
        <v>1168</v>
      </c>
      <c r="L18" s="1" t="s">
        <v>803</v>
      </c>
      <c r="M18" s="1" t="s">
        <v>649</v>
      </c>
    </row>
    <row r="19" spans="1:13" x14ac:dyDescent="0.3">
      <c r="A19" s="1">
        <v>18</v>
      </c>
      <c r="B19" s="47" t="s">
        <v>637</v>
      </c>
      <c r="C19" s="47" t="s">
        <v>770</v>
      </c>
      <c r="D19" s="1" t="s">
        <v>1142</v>
      </c>
      <c r="E19" s="1" t="s">
        <v>1148</v>
      </c>
      <c r="F19" s="1" t="s">
        <v>803</v>
      </c>
      <c r="G19" s="1" t="s">
        <v>1149</v>
      </c>
      <c r="H19" s="1" t="s">
        <v>1150</v>
      </c>
      <c r="I19" s="1" t="s">
        <v>1170</v>
      </c>
      <c r="J19" s="81">
        <v>46051</v>
      </c>
      <c r="K19" s="1" t="s">
        <v>1152</v>
      </c>
      <c r="L19" s="1" t="s">
        <v>803</v>
      </c>
      <c r="M19" s="1" t="s">
        <v>649</v>
      </c>
    </row>
    <row r="20" spans="1:13" x14ac:dyDescent="0.3">
      <c r="A20" s="1">
        <v>19</v>
      </c>
      <c r="B20" s="47" t="s">
        <v>639</v>
      </c>
      <c r="C20" s="47" t="s">
        <v>770</v>
      </c>
      <c r="D20" s="1" t="s">
        <v>1142</v>
      </c>
      <c r="E20" s="1" t="s">
        <v>1148</v>
      </c>
      <c r="F20" s="1" t="s">
        <v>803</v>
      </c>
      <c r="G20" s="1" t="s">
        <v>1149</v>
      </c>
      <c r="H20" s="1" t="s">
        <v>1150</v>
      </c>
      <c r="I20" s="1" t="s">
        <v>1171</v>
      </c>
      <c r="J20" s="81">
        <v>45985</v>
      </c>
      <c r="K20" s="1" t="s">
        <v>1152</v>
      </c>
      <c r="L20" s="1" t="s">
        <v>803</v>
      </c>
      <c r="M20" s="1" t="s">
        <v>649</v>
      </c>
    </row>
    <row r="21" spans="1:13" x14ac:dyDescent="0.3">
      <c r="A21" s="1">
        <v>20</v>
      </c>
      <c r="B21" s="47" t="s">
        <v>640</v>
      </c>
      <c r="C21" s="47" t="s">
        <v>770</v>
      </c>
      <c r="D21" s="1" t="s">
        <v>1142</v>
      </c>
      <c r="E21" s="1" t="s">
        <v>1148</v>
      </c>
      <c r="F21" s="1" t="s">
        <v>810</v>
      </c>
      <c r="G21" s="1" t="s">
        <v>1149</v>
      </c>
      <c r="H21" s="1" t="s">
        <v>1150</v>
      </c>
      <c r="I21" s="1" t="s">
        <v>1172</v>
      </c>
      <c r="J21" s="81">
        <v>46051</v>
      </c>
      <c r="K21" s="1" t="s">
        <v>1152</v>
      </c>
      <c r="L21" s="1" t="s">
        <v>803</v>
      </c>
      <c r="M21" s="1" t="s">
        <v>649</v>
      </c>
    </row>
    <row r="22" spans="1:13" x14ac:dyDescent="0.3">
      <c r="A22" s="1">
        <v>21</v>
      </c>
      <c r="B22" s="47" t="s">
        <v>641</v>
      </c>
      <c r="C22" s="47" t="s">
        <v>770</v>
      </c>
      <c r="D22" s="1" t="s">
        <v>1142</v>
      </c>
      <c r="E22" s="1" t="s">
        <v>1148</v>
      </c>
      <c r="F22" s="1" t="s">
        <v>803</v>
      </c>
      <c r="G22" s="1" t="s">
        <v>1149</v>
      </c>
      <c r="H22" s="1" t="s">
        <v>1150</v>
      </c>
      <c r="I22" s="1" t="s">
        <v>1173</v>
      </c>
      <c r="J22" s="81">
        <v>46051</v>
      </c>
      <c r="K22" s="1" t="s">
        <v>1152</v>
      </c>
      <c r="L22" s="1" t="s">
        <v>803</v>
      </c>
      <c r="M22" s="1" t="s">
        <v>649</v>
      </c>
    </row>
    <row r="23" spans="1:13" x14ac:dyDescent="0.3">
      <c r="A23" s="1">
        <v>22</v>
      </c>
      <c r="B23" s="47" t="s">
        <v>642</v>
      </c>
      <c r="C23" s="47" t="s">
        <v>770</v>
      </c>
      <c r="D23" s="1" t="s">
        <v>1142</v>
      </c>
      <c r="E23" s="1" t="s">
        <v>1148</v>
      </c>
      <c r="F23" s="1" t="s">
        <v>811</v>
      </c>
      <c r="G23" s="1" t="s">
        <v>1149</v>
      </c>
      <c r="H23" s="1" t="s">
        <v>1150</v>
      </c>
      <c r="I23" s="1" t="s">
        <v>1174</v>
      </c>
      <c r="J23" s="81">
        <v>46051</v>
      </c>
      <c r="K23" s="1" t="s">
        <v>1152</v>
      </c>
      <c r="L23" s="1" t="s">
        <v>803</v>
      </c>
      <c r="M23" s="1" t="s">
        <v>649</v>
      </c>
    </row>
    <row r="24" spans="1:13" x14ac:dyDescent="0.3">
      <c r="A24" s="1">
        <v>23</v>
      </c>
      <c r="B24" s="47" t="s">
        <v>643</v>
      </c>
      <c r="C24" s="47" t="s">
        <v>770</v>
      </c>
      <c r="D24" s="1" t="s">
        <v>1142</v>
      </c>
      <c r="E24" s="1" t="s">
        <v>1148</v>
      </c>
      <c r="F24" s="1" t="s">
        <v>803</v>
      </c>
      <c r="G24" s="1" t="s">
        <v>1149</v>
      </c>
      <c r="H24" s="1" t="s">
        <v>1150</v>
      </c>
      <c r="I24" s="1" t="s">
        <v>1175</v>
      </c>
      <c r="J24" s="81">
        <v>46051</v>
      </c>
      <c r="K24" s="1" t="s">
        <v>1152</v>
      </c>
      <c r="L24" s="1" t="s">
        <v>803</v>
      </c>
      <c r="M24" s="1" t="s">
        <v>649</v>
      </c>
    </row>
    <row r="25" spans="1:13" x14ac:dyDescent="0.3">
      <c r="A25" s="1">
        <v>24</v>
      </c>
      <c r="B25" s="47" t="s">
        <v>644</v>
      </c>
      <c r="C25" s="47" t="s">
        <v>770</v>
      </c>
      <c r="D25" s="1" t="s">
        <v>1176</v>
      </c>
      <c r="E25" s="1" t="s">
        <v>1177</v>
      </c>
      <c r="F25" s="1" t="s">
        <v>803</v>
      </c>
      <c r="G25" s="1" t="s">
        <v>1149</v>
      </c>
      <c r="H25" s="1" t="s">
        <v>1150</v>
      </c>
      <c r="I25" s="1" t="s">
        <v>1178</v>
      </c>
      <c r="J25" s="81">
        <v>46051</v>
      </c>
      <c r="K25" s="1" t="s">
        <v>1152</v>
      </c>
      <c r="L25" s="1" t="s">
        <v>803</v>
      </c>
      <c r="M25" s="1" t="s">
        <v>649</v>
      </c>
    </row>
    <row r="26" spans="1:13" x14ac:dyDescent="0.3">
      <c r="A26" s="1">
        <v>25</v>
      </c>
      <c r="B26" s="47" t="s">
        <v>645</v>
      </c>
      <c r="C26" s="47" t="s">
        <v>770</v>
      </c>
      <c r="D26" s="1" t="s">
        <v>1142</v>
      </c>
      <c r="E26" s="1" t="s">
        <v>1148</v>
      </c>
      <c r="F26" s="1" t="s">
        <v>803</v>
      </c>
      <c r="G26" s="1" t="s">
        <v>1149</v>
      </c>
      <c r="H26" s="1" t="s">
        <v>1150</v>
      </c>
      <c r="I26" s="1" t="s">
        <v>1179</v>
      </c>
      <c r="J26" s="81">
        <v>46051</v>
      </c>
      <c r="K26" s="1" t="s">
        <v>1152</v>
      </c>
      <c r="L26" s="1" t="s">
        <v>803</v>
      </c>
      <c r="M26" s="1" t="s">
        <v>649</v>
      </c>
    </row>
    <row r="27" spans="1:13" x14ac:dyDescent="0.3">
      <c r="A27" s="1">
        <v>26</v>
      </c>
      <c r="B27" s="47" t="s">
        <v>646</v>
      </c>
      <c r="C27" s="47" t="s">
        <v>770</v>
      </c>
      <c r="D27" s="1" t="s">
        <v>1142</v>
      </c>
      <c r="E27" s="1" t="s">
        <v>1148</v>
      </c>
      <c r="F27" s="1" t="s">
        <v>803</v>
      </c>
      <c r="G27" s="1" t="s">
        <v>1149</v>
      </c>
      <c r="H27" s="1" t="s">
        <v>1150</v>
      </c>
      <c r="I27" s="1" t="s">
        <v>1180</v>
      </c>
      <c r="J27" s="81">
        <v>46051</v>
      </c>
      <c r="K27" s="1" t="s">
        <v>1152</v>
      </c>
      <c r="L27" s="1" t="s">
        <v>803</v>
      </c>
      <c r="M27" s="1" t="s">
        <v>649</v>
      </c>
    </row>
    <row r="28" spans="1:13" x14ac:dyDescent="0.3">
      <c r="A28" s="1">
        <v>27</v>
      </c>
      <c r="B28" s="47" t="s">
        <v>647</v>
      </c>
      <c r="C28" s="47" t="s">
        <v>770</v>
      </c>
      <c r="D28" s="1" t="s">
        <v>1142</v>
      </c>
      <c r="E28" s="1" t="s">
        <v>1148</v>
      </c>
      <c r="F28" s="1" t="s">
        <v>803</v>
      </c>
      <c r="G28" s="1" t="s">
        <v>1149</v>
      </c>
      <c r="H28" s="1" t="s">
        <v>1150</v>
      </c>
      <c r="I28" s="1" t="s">
        <v>1181</v>
      </c>
      <c r="J28" s="81">
        <v>46051</v>
      </c>
      <c r="K28" s="1" t="s">
        <v>1152</v>
      </c>
      <c r="L28" s="1" t="s">
        <v>803</v>
      </c>
      <c r="M28" s="1" t="s">
        <v>649</v>
      </c>
    </row>
    <row r="29" spans="1:13" x14ac:dyDescent="0.3">
      <c r="A29" s="1">
        <v>28</v>
      </c>
      <c r="B29" s="48" t="s">
        <v>537</v>
      </c>
      <c r="C29" s="48" t="s">
        <v>770</v>
      </c>
      <c r="D29" s="1" t="s">
        <v>1142</v>
      </c>
      <c r="E29" s="1" t="s">
        <v>1148</v>
      </c>
      <c r="F29" s="1" t="s">
        <v>812</v>
      </c>
      <c r="G29" s="1" t="s">
        <v>1149</v>
      </c>
      <c r="H29" s="1" t="s">
        <v>1150</v>
      </c>
      <c r="I29" s="1" t="s">
        <v>1182</v>
      </c>
      <c r="J29" s="81">
        <v>46051</v>
      </c>
      <c r="K29" s="1" t="s">
        <v>1152</v>
      </c>
      <c r="L29" s="1" t="s">
        <v>803</v>
      </c>
      <c r="M29" s="1" t="s">
        <v>649</v>
      </c>
    </row>
    <row r="30" spans="1:13" x14ac:dyDescent="0.3">
      <c r="A30" s="1">
        <v>29</v>
      </c>
      <c r="B30" s="1" t="s">
        <v>533</v>
      </c>
      <c r="C30" s="1" t="s">
        <v>771</v>
      </c>
      <c r="D30" s="1" t="s">
        <v>1183</v>
      </c>
      <c r="E30" s="1" t="s">
        <v>1184</v>
      </c>
      <c r="F30" s="1" t="s">
        <v>803</v>
      </c>
      <c r="G30" s="1" t="s">
        <v>1185</v>
      </c>
      <c r="H30" s="1" t="s">
        <v>1145</v>
      </c>
      <c r="I30" s="1" t="s">
        <v>1186</v>
      </c>
      <c r="J30" s="81">
        <v>45812</v>
      </c>
      <c r="K30" s="1" t="s">
        <v>1187</v>
      </c>
      <c r="L30" s="1" t="s">
        <v>1205</v>
      </c>
      <c r="M30" s="1" t="s">
        <v>649</v>
      </c>
    </row>
    <row r="31" spans="1:13" x14ac:dyDescent="0.3">
      <c r="A31" s="1">
        <v>30</v>
      </c>
      <c r="B31" s="1" t="s">
        <v>532</v>
      </c>
      <c r="C31" s="1" t="s">
        <v>771</v>
      </c>
      <c r="D31" s="1" t="s">
        <v>1183</v>
      </c>
      <c r="E31" s="1" t="s">
        <v>1184</v>
      </c>
      <c r="F31" s="1" t="s">
        <v>803</v>
      </c>
      <c r="G31" s="1" t="s">
        <v>1185</v>
      </c>
      <c r="H31" s="1" t="s">
        <v>1145</v>
      </c>
      <c r="I31" s="1" t="s">
        <v>1189</v>
      </c>
      <c r="J31" s="81">
        <v>46055</v>
      </c>
      <c r="K31" s="1" t="s">
        <v>1190</v>
      </c>
      <c r="L31" s="1" t="s">
        <v>1191</v>
      </c>
      <c r="M31" s="1" t="s">
        <v>649</v>
      </c>
    </row>
    <row r="32" spans="1:13" x14ac:dyDescent="0.3">
      <c r="A32" s="1">
        <v>31</v>
      </c>
      <c r="B32" s="1" t="s">
        <v>591</v>
      </c>
      <c r="C32" s="1" t="s">
        <v>772</v>
      </c>
      <c r="D32" s="1" t="s">
        <v>1192</v>
      </c>
      <c r="E32" s="1" t="s">
        <v>1193</v>
      </c>
      <c r="F32" s="1" t="s">
        <v>803</v>
      </c>
      <c r="G32" s="1" t="s">
        <v>1149</v>
      </c>
      <c r="H32" s="1" t="s">
        <v>1145</v>
      </c>
      <c r="I32" s="1" t="s">
        <v>1194</v>
      </c>
      <c r="J32" s="81">
        <v>46055</v>
      </c>
      <c r="K32" s="1" t="s">
        <v>1195</v>
      </c>
      <c r="L32" s="1" t="s">
        <v>1196</v>
      </c>
      <c r="M32" s="1" t="s">
        <v>649</v>
      </c>
    </row>
    <row r="33" spans="1:13" x14ac:dyDescent="0.3">
      <c r="A33" s="1">
        <v>32</v>
      </c>
      <c r="B33" s="1" t="s">
        <v>607</v>
      </c>
      <c r="C33" s="1" t="s">
        <v>770</v>
      </c>
      <c r="D33" s="1" t="s">
        <v>1142</v>
      </c>
      <c r="E33" s="1" t="s">
        <v>1148</v>
      </c>
      <c r="F33" s="1" t="s">
        <v>803</v>
      </c>
      <c r="G33" s="1" t="s">
        <v>1149</v>
      </c>
      <c r="H33" s="1" t="s">
        <v>1150</v>
      </c>
      <c r="I33" s="1" t="s">
        <v>1197</v>
      </c>
      <c r="J33" s="81">
        <v>46058</v>
      </c>
      <c r="K33" s="1" t="s">
        <v>1152</v>
      </c>
      <c r="L33" s="1" t="s">
        <v>803</v>
      </c>
      <c r="M33" s="1" t="s">
        <v>649</v>
      </c>
    </row>
  </sheetData>
  <conditionalFormatting sqref="B3:B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Hoja1</vt:lpstr>
      <vt:lpstr>Laptops</vt:lpstr>
      <vt:lpstr>Hoja2</vt:lpstr>
      <vt:lpstr>BAJAS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Angel Gandara Carrillo</dc:creator>
  <cp:lastModifiedBy>Tristan Geovanni Dominguez Gomez</cp:lastModifiedBy>
  <cp:lastPrinted>2026-02-04T22:29:13Z</cp:lastPrinted>
  <dcterms:created xsi:type="dcterms:W3CDTF">2026-01-23T07:47:59Z</dcterms:created>
  <dcterms:modified xsi:type="dcterms:W3CDTF">2026-02-25T05:55:51Z</dcterms:modified>
</cp:coreProperties>
</file>